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<sst xmlns="http://schemas.openxmlformats.org/spreadsheetml/2006/main" count="195" uniqueCount="167">
  <si>
    <t>Sjekkpakke RET-16: Kriminalomsorgen og innsatte</t>
  </si>
  <si>
    <t>Laget 2026-10-27 · 15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</si>
  <si>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</si>
  <si>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</si>
  <si>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</si>
  <si>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</si>
  <si>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</si>
  <si>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</si>
  <si>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</si>
  <si>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</si>
  <si>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</si>
  <si>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</si>
  <si>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</si>
  <si>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</si>
  <si>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</si>
  <si>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</si>
  <si>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</si>
  <si>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</si>
  <si>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</si>
  <si>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</si>
  <si>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</si>
  <si>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</si>
  <si>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</si>
  <si>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</si>
  <si>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</si>
  <si>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</si>
  <si>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</si>
  <si>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</si>
  <si>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</si>
  <si>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</si>
  <si>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</si>
  <si>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</si>
  <si>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</si>
  <si>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</si>
  <si>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</si>
  <si>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</si>
  <si>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</si>
  <si>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</si>
  <si>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</si>
  <si>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</si>
  <si>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</si>
  <si>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</si>
  <si>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</si>
  <si>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</si>
  <si>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</si>
  <si>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</si>
  <si>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</si>
  <si>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</si>
  <si>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</si>
  <si>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</si>
  <si>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</si>
  <si>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</si>
  <si>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</si>
  <si>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</si>
  <si>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</si>
  <si>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</si>
  <si>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</si>
  <si>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</si>
  <si>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</si>
  <si>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</si>
  <si>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</si>
  <si>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</si>
  <si>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</si>
  <si>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</si>
  <si>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</si>
  <si>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</si>
  <si>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</si>
  <si>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</si>
  <si>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</si>
  <si>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RET-16.P01</t>
  </si>
  <si>
    <t>Algoritmisk risikovurdering av innsatte (COMPAS) har vist skjevheter</t>
  </si>
  <si>
    <t>K0263</t>
  </si>
  <si>
    <t>Angwin mfl. (2016) – Machine Bias · ProPublica</t>
  </si>
  <si>
    <t>COMPAS [K0263] viser at «rettferdig» kan måles på flere måter som står i motsetning til hverandre (RET-03, avsnitt G).</t>
  </si>
  <si>
    <t>ikke verifisert · Lagt til 2026-10-13 fra hullanalysen. · Eksistens (2026-10-25): funnet – Publisert 23. mai 2016 ifølge søket; ProPublicas egen URL ikke sett (bare gjengivelser).</t>
  </si>
  <si>
    <t>RET-16.P02</t>
  </si>
  <si>
    <t>Norsk kriminalomsorg bygger på normalitetsprinsippet og tilbakeføring til samfunnet</t>
  </si>
  <si>
    <t>K0264</t>
  </si>
  <si>
    <t>Stortinget – Straffegjennomføringsloven</t>
  </si>
  <si>
    <t xml:space="preserve">Alt utover frihetsberøvelsen må begrunnes i sikkerhet eller straffens formål (straffegjennomføringsloven § 2, sjekk) [K0264].
Kontroll av brev og telefon er ikke nytt og er hjemlet i straffegjennomføringsloven [K0264] (sjekk paragrafer).
Straffegjennomføringsloven [K0264]; KRUS' retningslinjer for KI, som bare gjelder studentene [K0265]; politiregisterloven [K0882]; personvernforordningen art. 17 [K0002]; EMK art. 8 [K0128]; Sivilombudets forebyggingsenhet [K0879]; Riksrevisjonen [K0878].</t>
  </si>
  <si>
    <t xml:space="preserve">ikke verifisert · Lagt til 2026-10-13 fra hullanalysen. </t>
  </si>
  <si>
    <t>RET-16.P03</t>
  </si>
  <si>
    <t>Innsatte i Finland har merket treningsdata for KI (2023)</t>
  </si>
  <si>
    <t>K0266</t>
  </si>
  <si>
    <t>[ukjent] (2019) – [Medieoppslag om innsatte i Finland som merket treningsdata for KI]</t>
  </si>
  <si>
    <t>Ikke nytt globalt: fengselsarbeid i USA har trekk av tvangsarbeid, og grunnloven har et unntak for straffedømte [K0881] (sjekk). Innsatte i Finland har merket treningsdata for KI [K0266].</t>
  </si>
  <si>
    <t>ikke verifisert · Lagt til 2026-10-13 fra hullanalysen. Sjekk. · Eksistens (2026-10-25): usikker – Saken gjelder Vainu og finske fengsler i 2019, ikke 2023 (registerets år avviker). Kandidater: MIT Technology Review «An AI startup has found a new source of cheap labor for training algorithms: prisoners» https://www.technologyreview.com/2019/03/29/136262/an-ai-startup-has-found-a-new-source-of-che · År rettet 2026-10-25: «2023» → 2019 (etter eksistenssjekken).</t>
  </si>
  <si>
    <t>RET-16.P04</t>
  </si>
  <si>
    <t>Det er ukjent om og hvordan Kriminalomsorgen bruker KI i risikovurdering</t>
  </si>
  <si>
    <t>K0265</t>
  </si>
  <si>
    <t>KRUS (Kriminalomsorgens høgskole og utdanningssenter) – Retningslinjer for bruk av kunstig intelligens (KI) på skriftlige arbeidskrav og eksamener · KRUS</t>
  </si>
  <si>
    <t>https://www.krus.no/foreldrelose-sider/retningslinjer-ki</t>
  </si>
  <si>
    <t>Straffegjennomføringsloven [K0264]; KRUS' retningslinjer for KI, som bare gjelder studentene [K0265]; politiregisterloven [K0882]; personvernforordningen art. 17 [K0002]; EMK art. 8 [K0128]; Sivilombudets forebyggingsenhet [K0879]; Riksrevisjonen [K0878].</t>
  </si>
  <si>
    <t>ikke verifisert · Lagt til 2026-10-13 fra hullanalysen. Om Kriminalomsorgen bruker KI, er ukjent – må undersøkes. · Eksistens (2026-10-25): ikke funnet – Søkt på Kriminalomsorgen og KI i risikovurdering; ingen dokument funnet (konsistent med påstanden om at bruken er ukjent). · Kildeoppfølging 2026-10-25: funnet. Gjelder bare studentenes bruk av KI – nevner ikke risikovurdering av innsatte. Det støtter RET-16.P04: Kriminalomsorgens eventuelle bruk av KI i risikovurdering er ikke offentlig kjent. Før: forf. «Kriminalomsorgsdirektoratet», tittel «[Om KI og risikovurdering i kriminalomsorgen]».</t>
  </si>
  <si>
    <t>RET-16.P05</t>
  </si>
  <si>
    <t>Normalitetsprinsippet er en av kriminalomsorgens bærebjelker: innsatte beholder sine rettigheter, og straffen er frihetsberøvelsen</t>
  </si>
  <si>
    <t>K0873</t>
  </si>
  <si>
    <t>Stortinget (2009) – Innstilling frå justiskomiteen om straff som virker – mindre kriminalitet – tryggere samfunn (kriminalomsorgsmelding) · Stortinget</t>
  </si>
  <si>
    <t>https://stortinget.no/no/Saker-og-publikasjoner/Publikasjoner/Innstillinger/Stortinget/2008-2009/inns-200809-169/</t>
  </si>
  <si>
    <t>Særegent for kriminalomsorgen og en av dens fem bærebjelker [K0873]: innsatte beholder sine rettigheter som borgere, og livet innenfor skal så langt som mulig ligne livet utenfor.</t>
  </si>
  <si>
    <t>ikke verifisert · Lagt til 2026-10-20 (RET-16). URL: https://stortinget.no/no/Saker-og-publikasjoner/Publikasjoner/Innstillinger/Stortinget/2008-2009/inns-200809-169/ – se også St.meld. nr. 37 (2007–2008) «Straff som virker». Sjekk ordlyd. · Eksistens (2026-10-25): funnet – Side åpnet: Innst. S. nr. 169 (2008–2009), datert 26.02.2009, om St.meld. nr. 37 (2007–2008). – tidligere beskrivelse: [Innst. 169 S (2008–2009) – kriminalomsorgens fem bærebjelker, blant dem normalitetsprinsippet]</t>
  </si>
  <si>
    <t>RET-16.P06</t>
  </si>
  <si>
    <t>Statistiske sjekklister laget av mennesker faller utenfor KI-forordningens definisjon av KI-system</t>
  </si>
  <si>
    <t>K0001</t>
  </si>
  <si>
    <t>Europaparlamentet og Rådet (2024) – Forordning (EU) 2024/1689 om kunstig intelligens (KI-forordningen, AI Act) · EUR-Lex</t>
  </si>
  <si>
    <t>KI-forordningen er streng her: den forbyr KI som forutsier lovbrudd utelukkende ut fra profilering eller personlighetstrekk (art. 5), og regner risikovurdering av tilbakefall som høyrisiko (vedlegg III, sjekk om kriminalomsorgen er omfattet) [K0001].</t>
  </si>
  <si>
    <t>ikke verifisert · Brukes om art. 3, 4, 5, åpenhetskrav og grunnmodeller</t>
  </si>
  <si>
    <t>RET-16.P07</t>
  </si>
  <si>
    <t>KI gjør det mulig å analysere all kommunikasjon fra innsatte, ikke bare stikkprøver</t>
  </si>
  <si>
    <t>mangler</t>
  </si>
  <si>
    <t>Ingen kilde ennå. Fant du en? Lim inn lenken i «Riktig eller ny lenke».</t>
  </si>
  <si>
    <t>RET-16.P08</t>
  </si>
  <si>
    <t>Innsatte i Norge har bare begrenset internettilgang til undervisningsformål, med logging (IFI-modellen)</t>
  </si>
  <si>
    <t>K0877</t>
  </si>
  <si>
    <t>Grete Faremo (justis- og beredskapsminister), svar til Åse Michaelsen (2012) – Dokument nr. 15:853 (2011–2012): Hvordan har statsråden sikret samfunnets interesser i forhold til misbruk av Internett i fengslene? · Stortinget</t>
  </si>
  <si>
    <t>https://www.stortinget.no/no/Saker-og-publikasjoner/Sporsmal/Skriftlige-sporsmal-og-svar/Skriftlig-sporsmal/?qnid=32217</t>
  </si>
  <si>
    <t>Tilgangen er strengt begrenset i dag: internett bare til undervisning, etter sikkerhetsvurdering, i klasserom med lærer, med logging av all trafikk (IFI-modellen) [K0877]. Riksrevisjonen har kritisert at det er gjort for lite for å kompensere for innsattes manglende digitale tilgang [K0878].</t>
  </si>
  <si>
    <t>ikke verifisert · Lagt til 2026-10-20 (RET-16). URL: https://www.stortinget.no/no/Saker-og-publikasjoner/Sporsmal/Skriftlige-sporsmal-og-svar/Skriftlig-sporsmal/?qnid=99825 – sjekk år. · Eksistens (2026-10-25): usikker – URL-en i registeret (qnid=99825) er et annet spørsmål: Dokument 15:617 (2024–2025), Rørvik (FrP) til justisministeren, om utenlandske innsatte, besvart 16.12.2024. Kandidat for IFI-modellen: Dokument 15:853 (2011–2012), Michaelsen (FrP), innlevert 16.02.2012, besvart 23.02.2012 av Faremo, https://ww · Registerrettelse 2026-10-25: Tidligere URL pekte på et annet spørsmål (Dok. 15:617 2024–2025). Svaret er fra 23.2.2012 – må sjekkes mot dagens regelverk før «i dag» brukes (dateringslista). Før rettelsen: forf. «Justis- og beredskapsdepartementet», tittel «[Svar på skriftlig spørsmål om innsattes internettilgang (IFI-modellen)]», år –, utgiver «Stortinget».</t>
  </si>
  <si>
    <t>RET-16.P09</t>
  </si>
  <si>
    <t>Riksrevisjonen har kritisert at det er gjort for lite for å kompensere for innsattes manglende digitale tilgang</t>
  </si>
  <si>
    <t>K0878</t>
  </si>
  <si>
    <t>Stortinget (kontroll- og konstitusjonskomiteen) (2023) – Innstilling fra kontroll- og konstitusjonskomiteen om Riksrevisjonens undersøkelse av helse-, opplærings- og velferdstjenester til innsatte i fengsel · Stortinget</t>
  </si>
  <si>
    <t>https://stortinget.no/no/Saker-og-publikasjoner/Publikasjoner/Innstillinger/Stortinget/2022-2023/inns-202223-167s/</t>
  </si>
  <si>
    <t xml:space="preserve">Tilgangen er strengt begrenset i dag: internett bare til undervisning, etter sikkerhetsvurdering, i klasserom med lærer, med logging av all trafikk (IFI-modellen) [K0877]. Riksrevisjonen har kritisert at det er gjort for lite for å kompensere for innsattes manglende digitale tilgang [K0878].
Eldre løslatte følte seg som utenforstående når hverdagen hadde flyttet på nett, og strenge teknologirestriksjoner i fengsel kan svekke tilbakeføringen [K0887]. I Norge har Riksrevisjonen kritisert at for lite er gjort [K0878].
Straffegjennomføringsloven [K0264]; KRUS' retningslinjer for KI, som bare gjelder studentene [K0265]; politiregisterloven [K0882]; personvernforordningen art. 17 [K0002]; EMK art. 8 [K0128]; Sivilombudets forebyggingsenhet [K0879]; Riksrevisjonen [K0878].</t>
  </si>
  <si>
    <t>ikke verifisert · Lagt til 2026-10-20 (RET-16). URL: https://stortinget.no/no/Saker-og-publikasjoner/Publikasjoner/Innstillinger/Stortinget/2022-2023/inns-202223-167s/ · Eksistens (2026-10-25): funnet – Side åpnet: Innst. 167 S (2022–2023), 31.01.2023, om Dok. 3:4 (2022–2023). Dokumentet er bredere enn beskrivelsen; innsattes digitale tilgang behandles i et underkapittel (1.3.1.4), funn ikke lest. – tidligere beskrivelse: [Innst. 167 S (2022–2023) – Riksrevisjonen om innsattes manglende digitale tilgang]</t>
  </si>
  <si>
    <t>RET-16.P10</t>
  </si>
  <si>
    <t>Lovbrytere rettferdiggjør handlingene sine med nøytraliseringsteknikker</t>
  </si>
  <si>
    <t>K0880</t>
  </si>
  <si>
    <t>Sykes og Matza (1957) – Techniques of Neutralization: A Theory of Delinquency · American Sociological Review</t>
  </si>
  <si>
    <t>https://doi.org/10.2307/2089195</t>
  </si>
  <si>
    <t>Ekkokammeret: lovbrytere rettferdiggjør handlingene sine med «nøytraliseringsteknikker» – det var ikke min feil, ingen ble egentlig skadet, de fortjente det, systemet tar feil [K0880].</t>
  </si>
  <si>
    <t>ikke verifisert · Lagt til 2026-10-20 (RET-16). · Eksistens (2026-10-25): funnet – Referanse og DOI sett i Wikipedia-sitat i søket; DOI ikke åpnet.</t>
  </si>
  <si>
    <t>RET-16.P11</t>
  </si>
  <si>
    <t>Det finnes ingen garanti for at data som er «trent bort», faktisk er borte fra en modell</t>
  </si>
  <si>
    <t>K0852</t>
  </si>
  <si>
    <t>Carlini mfl. (2021) – Extracting Training Data from Large Language Models · USENIX Security</t>
  </si>
  <si>
    <t>https://www.usenix.org/conference/usenixsecurity21/presentation/carlini-extracting</t>
  </si>
  <si>
    <t>Modellen glemmer ikke: språkmodeller trent på nyheter og rettsavgjørelser kan huske navn og dommer [K0852]. Det finnes metoder for å «trene bort» data, men vektene ligger latent i modellen – det er ingen garanti for at dataene faktisk er borte. En arbeidsgiver eller utleier som spør en chatbot, kan omgå slettefristene.</t>
  </si>
  <si>
    <t>ikke verifisert · Lagt til 2026-10-19 (LIV-02). Sjekk. · Eksistens (2026-10-25): funnet – Preprint: https://arxiv.org/abs/2012.07805</t>
  </si>
  <si>
    <t>RET-16.P12</t>
  </si>
  <si>
    <t>ChatGPT beskrev en norsk mann som dømt for å ha drept barna sine, og saken ble klaget inn til Datatilsynet</t>
  </si>
  <si>
    <t>K0883</t>
  </si>
  <si>
    <t>noyb (2025) – AI hallucinations: ChatGPT created a fake child murderer · noyb / Datatilsynet</t>
  </si>
  <si>
    <t>https://noyb.eu/en/ai-hallucinations-chatgpt-created-fake-child-murderer</t>
  </si>
  <si>
    <t>Modellen kan også dikte opp et rulleblad: ChatGPT beskrev en norsk mann som dømt for å ha drept to av barna sine – oppdiktet, men blandet med ekte opplysninger om familien. Saken ble klaget inn til Datatilsynet i 2025 [K0883] (sjekk utfall).</t>
  </si>
  <si>
    <t>ikke verifisert · Lagt til 2026-10-20 (RET-16). Tek.no: https://www.tek.no/nyheter/nyhet/i/mPdJzv/nordmann-klager-inn-openai-chatgpt-paasto-han-hadde-drept-sine-egne-barn – personen navngis ikke i rapporten. Sjekk utfall. · Eksistens (2026-10-25): funnet – Tittelen er noybs pressemelding; klagen inngitt 20.03.2025 til Datatilsynet, klage-PDF https://noyb.eu/sites/default/files/2025-03/OpenAI_complaint_redacted.pdf . Saken oppført som pending; Irsk DPC er ledende tilsynsmyndighet fra juni 2025. – tidligere beskrivelse: [Klage til Datatilsynet: ChatGPT beskrev en norsk mann som dømt for å ha drept barna sine]</t>
  </si>
  <si>
    <t>RET-16.P13</t>
  </si>
  <si>
    <t>Løslatte etter lange dommer må lære hverdagen på nytt</t>
  </si>
  <si>
    <t>K0885</t>
  </si>
  <si>
    <t>Budd og Pearce (The Sentencing Project) (2026) – Learning Life All Over Again: Reentry after long-term imprisonment · The Sentencing Project</t>
  </si>
  <si>
    <t>https://www.sentencingproject.org/app/uploads/2026/04/Reentry-after-long-term-imprisonment.pdf</t>
  </si>
  <si>
    <t>En rapport basert på intervjuer med dem heter betegnende nok «Learning Life All Over Again», og finner at hindringene i stor grad ligger i hvordan fengslene forbereder løslatelsen [K0885].</t>
  </si>
  <si>
    <t>ikke verifisert · Lagt til 2026-10-20 (RET-16). URL: https://www.sentencingproject.org/app/uploads/2026/04/Reentry-after-long-term-imprisonment.pdf – intervjuer med 33 løslatte. · Eksistens (2026-10-25): funnet – Tittel og forfattere fra søket; år fra URL-stien (2026/04) og omtaler fra april 2026; PDF-en kunne ikke leses maskinelt.</t>
  </si>
  <si>
    <t>RET-16.P14</t>
  </si>
  <si>
    <t>Løslatte har store hull i digital kompetanse, og teknologirestriksjoner i fengsel kan svekke tilbakeføringen</t>
  </si>
  <si>
    <t>K0886</t>
  </si>
  <si>
    <t>Ogbonnaya-Ogburu, Toyama og Dillahunt (2019) – Towards an Effective Digital Literacy Intervention to Assist Returning Citizens with Job Search · CHI 2019</t>
  </si>
  <si>
    <t>https://par.nsf.gov/biblio/10283436</t>
  </si>
  <si>
    <t>Det digitale gapet: løslatte har store hull i digital kompetanse – en «Rip Van Winkle-effekt» – selv om de raskt får smarttelefon av familie og venner [K0886].</t>
  </si>
  <si>
    <t>ikke verifisert · Lagt til 2026-10-20 (RET-16). URL: https://tawannadillahunt.com/wp-content/uploads/2024/05/p365-ogbonnaya-ogburu.pdf – 23 intervjuer, soningstid 6 mnd–45 år. Sjekk tittel. · Eksistens (2026-10-25): funnet – Tittel sett i sitat (CV) og NSF-oppføring; registerets PDF-lenke kunne ikke leses maskinelt. 23 intervjuer og pilotkurs i Detroit-området. – tidligere beskrivelse: [Studie av digital kompetanse og jobbsøking blant løslatte («Rip Van Winkle-effekten»)]</t>
  </si>
  <si>
    <t>K0887</t>
  </si>
  <si>
    <t>Ye In Jane Hwang, Amanuel Hagos, Adrienne Withall, Stephen Hampton, Phillip Snoyman og Tony Butler (2024) – Population ageing, incarceration and the growing digital divide: Understanding the effects of digital literacy inequity experienced by older people leaving prison · PLoS ONE</t>
  </si>
  <si>
    <t>https://doi.org/10.1371/journal.pone.0297482</t>
  </si>
  <si>
    <t>Eldre løslatte følte seg som utenforstående når hverdagen hadde flyttet på nett, og strenge teknologirestriksjoner i fengsel kan svekke tilbakeføringen [K0887].</t>
  </si>
  <si>
    <t>ikke verifisert · Lagt til 2026-10-20 (RET-16). URL: https://www.ncbi.nlm.nih.gov/pmc/articles/PMC11023396/ – Australia, 15 intervjuer. Sjekk forfattere. · Eksistens (2026-10-25): funnet – Tittel ordrett sett (PMC/PubMed); DOI fra søkesammendrag.</t>
  </si>
  <si>
    <t>RET-16.P15</t>
  </si>
  <si>
    <t>Med KI kan tiden det tar å miste grepet på hverdagen krympe fra 5–15 år til 1–3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</si>
</sst>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rus.no/foreldrelose-sider/retningslinjer-ki" TargetMode="External"/><Relationship Id="rId2" Type="http://schemas.openxmlformats.org/officeDocument/2006/relationships/hyperlink" Target="https://stortinget.no/no/Saker-og-publikasjoner/Publikasjoner/Innstillinger/Stortinget/2008-2009/inns-200809-169/" TargetMode="External"/><Relationship Id="rId3" Type="http://schemas.openxmlformats.org/officeDocument/2006/relationships/hyperlink" Target="https://www.stortinget.no/no/Saker-og-publikasjoner/Sporsmal/Skriftlige-sporsmal-og-svar/Skriftlig-sporsmal/?qnid=32217" TargetMode="External"/><Relationship Id="rId4" Type="http://schemas.openxmlformats.org/officeDocument/2006/relationships/hyperlink" Target="https://stortinget.no/no/Saker-og-publikasjoner/Publikasjoner/Innstillinger/Stortinget/2022-2023/inns-202223-167s/" TargetMode="External"/><Relationship Id="rId5" Type="http://schemas.openxmlformats.org/officeDocument/2006/relationships/hyperlink" Target="https://doi.org/10.2307/2089195" TargetMode="External"/><Relationship Id="rId6" Type="http://schemas.openxmlformats.org/officeDocument/2006/relationships/hyperlink" Target="https://www.usenix.org/conference/usenixsecurity21/presentation/carlini-extracting" TargetMode="External"/><Relationship Id="rId7" Type="http://schemas.openxmlformats.org/officeDocument/2006/relationships/hyperlink" Target="https://noyb.eu/en/ai-hallucinations-chatgpt-created-fake-child-murderer" TargetMode="External"/><Relationship Id="rId8" Type="http://schemas.openxmlformats.org/officeDocument/2006/relationships/hyperlink" Target="https://www.sentencingproject.org/app/uploads/2026/04/Reentry-after-long-term-imprisonment.pdf" TargetMode="External"/><Relationship Id="rId9" Type="http://schemas.openxmlformats.org/officeDocument/2006/relationships/hyperlink" Target="https://par.nsf.gov/biblio/10283436" TargetMode="External"/><Relationship Id="rId10" Type="http://schemas.openxmlformats.org/officeDocument/2006/relationships/hyperlink" Target="https://doi.org/10.1371/journal.pone.02974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73</v>
      </c>
      <c r="G2" s="16" t="s">
        <v>74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75</v>
      </c>
      <c r="B3" s="16" t="s">
        <v>76</v>
      </c>
      <c r="C3" s="16" t="s">
        <v>77</v>
      </c>
      <c r="D3" s="16" t="s">
        <v>78</v>
      </c>
      <c r="E3" s="16" t="s">
        <v>3</v>
      </c>
      <c r="F3" s="16" t="s">
        <v>79</v>
      </c>
      <c r="G3" s="16" t="s">
        <v>80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81</v>
      </c>
      <c r="B4" s="16" t="s">
        <v>82</v>
      </c>
      <c r="C4" s="16" t="s">
        <v>83</v>
      </c>
      <c r="D4" s="16" t="s">
        <v>84</v>
      </c>
      <c r="E4" s="16" t="s">
        <v>3</v>
      </c>
      <c r="F4" s="16" t="s">
        <v>85</v>
      </c>
      <c r="G4" s="16" t="s">
        <v>86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87</v>
      </c>
      <c r="B5" s="16" t="s">
        <v>88</v>
      </c>
      <c r="C5" s="16" t="s">
        <v>89</v>
      </c>
      <c r="D5" s="16" t="s">
        <v>90</v>
      </c>
      <c r="E5" s="18" t="s">
        <v>91</v>
      </c>
      <c r="F5" s="16" t="s">
        <v>92</v>
      </c>
      <c r="G5" s="16" t="s">
        <v>93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94</v>
      </c>
      <c r="B6" s="16" t="s">
        <v>95</v>
      </c>
      <c r="C6" s="16" t="s">
        <v>96</v>
      </c>
      <c r="D6" s="16" t="s">
        <v>97</v>
      </c>
      <c r="E6" s="18" t="s">
        <v>98</v>
      </c>
      <c r="F6" s="16" t="s">
        <v>99</v>
      </c>
      <c r="G6" s="16" t="s">
        <v>100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/>
      <c r="B7" s="16"/>
      <c r="C7" s="16" t="s">
        <v>77</v>
      </c>
      <c r="D7" s="16" t="s">
        <v>78</v>
      </c>
      <c r="E7" s="16" t="s">
        <v>3</v>
      </c>
      <c r="F7" s="16" t="s">
        <v>79</v>
      </c>
      <c r="G7" s="16" t="s">
        <v>80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 t="s">
        <v>101</v>
      </c>
      <c r="B8" s="16" t="s">
        <v>102</v>
      </c>
      <c r="C8" s="16" t="s">
        <v>103</v>
      </c>
      <c r="D8" s="16" t="s">
        <v>104</v>
      </c>
      <c r="E8" s="16" t="s">
        <v>3</v>
      </c>
      <c r="F8" s="16" t="s">
        <v>105</v>
      </c>
      <c r="G8" s="16" t="s">
        <v>106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107</v>
      </c>
      <c r="B9" s="16" t="s">
        <v>108</v>
      </c>
      <c r="C9" s="16" t="s">
        <v>109</v>
      </c>
      <c r="D9" s="16" t="s">
        <v>110</v>
      </c>
      <c r="E9" s="16" t="s">
        <v>3</v>
      </c>
      <c r="F9" s="16" t="s">
        <v>3</v>
      </c>
      <c r="G9" s="16" t="s">
        <v>3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111</v>
      </c>
      <c r="B10" s="16" t="s">
        <v>112</v>
      </c>
      <c r="C10" s="16" t="s">
        <v>113</v>
      </c>
      <c r="D10" s="16" t="s">
        <v>114</v>
      </c>
      <c r="E10" s="18" t="s">
        <v>115</v>
      </c>
      <c r="F10" s="16" t="s">
        <v>116</v>
      </c>
      <c r="G10" s="16" t="s">
        <v>117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s="6" customFormat="1" x14ac:dyDescent="0.25">
      <c r="A11" s="16" t="s">
        <v>118</v>
      </c>
      <c r="B11" s="16" t="s">
        <v>119</v>
      </c>
      <c r="C11" s="16" t="s">
        <v>120</v>
      </c>
      <c r="D11" s="16" t="s">
        <v>121</v>
      </c>
      <c r="E11" s="18" t="s">
        <v>122</v>
      </c>
      <c r="F11" s="16" t="s">
        <v>123</v>
      </c>
      <c r="G11" s="16" t="s">
        <v>124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s="6" customFormat="1" x14ac:dyDescent="0.25">
      <c r="A12" s="16" t="s">
        <v>125</v>
      </c>
      <c r="B12" s="16" t="s">
        <v>126</v>
      </c>
      <c r="C12" s="16" t="s">
        <v>127</v>
      </c>
      <c r="D12" s="16" t="s">
        <v>128</v>
      </c>
      <c r="E12" s="18" t="s">
        <v>129</v>
      </c>
      <c r="F12" s="16" t="s">
        <v>130</v>
      </c>
      <c r="G12" s="16" t="s">
        <v>131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s="6" customFormat="1" x14ac:dyDescent="0.25">
      <c r="A13" s="16" t="s">
        <v>132</v>
      </c>
      <c r="B13" s="16" t="s">
        <v>133</v>
      </c>
      <c r="C13" s="16" t="s">
        <v>134</v>
      </c>
      <c r="D13" s="16" t="s">
        <v>135</v>
      </c>
      <c r="E13" s="18" t="s">
        <v>136</v>
      </c>
      <c r="F13" s="16" t="s">
        <v>137</v>
      </c>
      <c r="G13" s="16" t="s">
        <v>138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s="6" customFormat="1" x14ac:dyDescent="0.25">
      <c r="A14" s="16" t="s">
        <v>139</v>
      </c>
      <c r="B14" s="16" t="s">
        <v>140</v>
      </c>
      <c r="C14" s="16" t="s">
        <v>141</v>
      </c>
      <c r="D14" s="16" t="s">
        <v>142</v>
      </c>
      <c r="E14" s="18" t="s">
        <v>143</v>
      </c>
      <c r="F14" s="16" t="s">
        <v>144</v>
      </c>
      <c r="G14" s="16" t="s">
        <v>145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s="6" customFormat="1" x14ac:dyDescent="0.25">
      <c r="A15" s="16" t="s">
        <v>146</v>
      </c>
      <c r="B15" s="16" t="s">
        <v>147</v>
      </c>
      <c r="C15" s="16" t="s">
        <v>148</v>
      </c>
      <c r="D15" s="16" t="s">
        <v>149</v>
      </c>
      <c r="E15" s="18" t="s">
        <v>150</v>
      </c>
      <c r="F15" s="16" t="s">
        <v>151</v>
      </c>
      <c r="G15" s="16" t="s">
        <v>152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s="6" customFormat="1" x14ac:dyDescent="0.25">
      <c r="A16" s="16" t="s">
        <v>153</v>
      </c>
      <c r="B16" s="16" t="s">
        <v>154</v>
      </c>
      <c r="C16" s="16" t="s">
        <v>155</v>
      </c>
      <c r="D16" s="16" t="s">
        <v>156</v>
      </c>
      <c r="E16" s="18" t="s">
        <v>157</v>
      </c>
      <c r="F16" s="16" t="s">
        <v>158</v>
      </c>
      <c r="G16" s="16" t="s">
        <v>159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s="6" customFormat="1" x14ac:dyDescent="0.25">
      <c r="A17" s="16"/>
      <c r="B17" s="16"/>
      <c r="C17" s="16" t="s">
        <v>160</v>
      </c>
      <c r="D17" s="16" t="s">
        <v>161</v>
      </c>
      <c r="E17" s="18" t="s">
        <v>162</v>
      </c>
      <c r="F17" s="16" t="s">
        <v>163</v>
      </c>
      <c r="G17" s="16" t="s">
        <v>164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s="6" customFormat="1" x14ac:dyDescent="0.25">
      <c r="A18" s="16" t="s">
        <v>165</v>
      </c>
      <c r="B18" s="16" t="s">
        <v>166</v>
      </c>
      <c r="C18" s="16" t="s">
        <v>109</v>
      </c>
      <c r="D18" s="16" t="s">
        <v>110</v>
      </c>
      <c r="E18" s="16" t="s">
        <v>3</v>
      </c>
      <c r="F18" s="16" t="s">
        <v>3</v>
      </c>
      <c r="G18" s="16" t="s">
        <v>3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</sheetData>
  <autoFilter ref="A1:R18"/>
  <mergeCells count="16">
    <mergeCell ref="A6:A7"/>
    <mergeCell ref="B6:B7"/>
    <mergeCell ref="M6:M7"/>
    <mergeCell ref="N6:N7"/>
    <mergeCell ref="O6:O7"/>
    <mergeCell ref="P6:P7"/>
    <mergeCell ref="Q6:Q7"/>
    <mergeCell ref="R6:R7"/>
    <mergeCell ref="A16:A17"/>
    <mergeCell ref="B16:B17"/>
    <mergeCell ref="M16:M17"/>
    <mergeCell ref="N16:N17"/>
    <mergeCell ref="O16:O17"/>
    <mergeCell ref="P16:P17"/>
    <mergeCell ref="Q16:Q17"/>
    <mergeCell ref="R16:R17"/>
  </mergeCells>
  <dataValidations count="6">
    <dataValidation type="list" allowBlank="1" sqref="H10:H17">
      <formula1>"verifisert,delvis,sekundær,ikke funnet,feil"</formula1>
    </dataValidation>
    <dataValidation type="list" allowBlank="1" sqref="H2:H8">
      <formula1>"verifisert,delvis,sekundær,ikke funnet,feil"</formula1>
    </dataValidation>
    <dataValidation type="list" allowBlank="1" sqref="K10:K18">
      <formula1>"ja,nei,preprint"</formula1>
    </dataValidation>
    <dataValidation type="list" allowBlank="1" sqref="K2:K18">
      <formula1>"ja,nei,preprint"</formula1>
    </dataValidation>
    <dataValidation type="list" allowBlank="1" showErrorMessage="1" sqref="M10:Q18">
      <formula1>"0,1,2,3"</formula1>
    </dataValidation>
    <dataValidation type="list" allowBlank="1" showErrorMessage="1" sqref="M2:Q18">
      <formula1>"0,1,2,3"</formula1>
    </dataValidation>
  </dataValidations>
  <hyperlinks>
    <hyperlink ref="E5" r:id="rId1"/>
    <hyperlink ref="E6" r:id="rId2"/>
    <hyperlink ref="E10" r:id="rId3"/>
    <hyperlink ref="E11" r:id="rId4"/>
    <hyperlink ref="E12" r:id="rId5"/>
    <hyperlink ref="E13" r:id="rId6"/>
    <hyperlink ref="E14" r:id="rId7"/>
    <hyperlink ref="E15" r:id="rId8"/>
    <hyperlink ref="E16" r:id="rId9"/>
    <hyperlink ref="E17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