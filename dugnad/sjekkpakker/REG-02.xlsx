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<sst xmlns="http://schemas.openxmlformats.org/spreadsheetml/2006/main" count="238" uniqueCount="161">
  <si>
    <t>Sjekkpakke REG-02: Hullene</t>
  </si>
  <si>
    <t>Laget 2026-10-27 · 18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</si>
  <si>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</si>
  <si>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</si>
  <si>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</si>
  <si>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</si>
  <si>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</si>
  <si>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</si>
  <si>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</si>
  <si>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</si>
  <si>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</si>
  <si>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</si>
  <si>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</si>
  <si>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</si>
  <si>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</si>
  <si>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</si>
  <si>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</si>
  <si>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</si>
  <si>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</si>
  <si>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</si>
  <si>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</si>
  <si>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</si>
  <si>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</si>
  <si>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</si>
  <si>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</si>
  <si>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</si>
  <si>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</si>
  <si>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</si>
  <si>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</si>
  <si>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</si>
  <si>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</si>
  <si>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</si>
  <si>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</si>
  <si>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</si>
  <si>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</si>
  <si>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</si>
  <si>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</si>
  <si>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</si>
  <si>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</si>
  <si>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</si>
  <si>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</si>
  <si>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</si>
  <si>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</si>
  <si>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</si>
  <si>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</si>
  <si>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</si>
  <si>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</si>
  <si>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</si>
  <si>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</si>
  <si>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</si>
  <si>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</si>
  <si>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</si>
  <si>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</si>
  <si>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</si>
  <si>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</si>
  <si>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</si>
  <si>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</si>
  <si>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</si>
  <si>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</si>
  <si>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</si>
  <si>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</si>
  <si>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</si>
  <si>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</si>
  <si>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</si>
  <si>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</si>
  <si>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</si>
  <si>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</si>
  <si>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REG-02.P01</t>
  </si>
  <si>
    <t>Tilsynene mangler kompetanse og ressurser til å håndheve KI-regelverket</t>
  </si>
  <si>
    <t>mangler</t>
  </si>
  <si>
    <t>Ingen kilde ennå. Fant du en? Lim inn lenken i «Riktig eller ny lenke».</t>
  </si>
  <si>
    <t>REG-02.P02</t>
  </si>
  <si>
    <t>EUs forslag til KI-ansvarsdirektiv ble trukket; det finnes ingen klar produktansvarsregel for KI</t>
  </si>
  <si>
    <t>K0025</t>
  </si>
  <si>
    <t>EU-kommisjonen – Forslag til KI-ansvarsdirektiv · EUR-Lex</t>
  </si>
  <si>
    <t>Ansvar: ingen klar produktansvarsregel for KI (EUs forslag til KI-ansvarsdirektiv ble trukket – sjekk). [K0025] (disposisjonen)</t>
  </si>
  <si>
    <t>ikke verifisert · Trukket – sjekk</t>
  </si>
  <si>
    <t>REG-02.P03</t>
  </si>
  <si>
    <t>Kompanjong-apper og emosjonell manipulasjon er svakt dekket av forbrukervernet</t>
  </si>
  <si>
    <t>REG-02.P04</t>
  </si>
  <si>
    <t>Offentlig sektor kjøper inn og bruker KI uten felles minstekrav</t>
  </si>
  <si>
    <t>REG-02.P05</t>
  </si>
  <si>
    <t>Norsk KI-lov er utsatt: ny høring høsten 2026, proposisjon tidligst våren 2027</t>
  </si>
  <si>
    <t>K0014</t>
  </si>
  <si>
    <t>Digitaliseringsdepartementet / regjeringen.no (2025) – Høring – utkast til ny lov om kunstig intelligens – gjennomføring av EUs forordning om kunstig intelligens i norsk rett · regjeringen.no</t>
  </si>
  <si>
    <t>https://www.regjeringen.no/id3112327/</t>
  </si>
  <si>
    <t xml:space="preserve">Rollekonflikt: Digitaliseringsdepartementet skal både drive digitaliseringen framover og eie KI-loven [K0014], og Nkom – som er pekt ut som KI-tilsyn – ligger under samme departement. Den som har ansvaret for å få farten opp, har også ansvaret for bremsene.
Høyrisikoreglene foreslås utsatt til 2027–28 gjennom den digitale omnibusen [K0292] (sjekk). En norsk lov kommer tidligst våren 2027 [K0014].
Eksempel: ny høring av KI-loven høsten 2026, proposisjon tidligst våren 2027 [K0014].</t>
  </si>
  <si>
    <t>ikke verifisert · Nkom pekt ut som tilsyn – sjekk · Eksistens (2026-10-25): funnet – Høringsnotat sendt 30. juni 2025 (frist 30. sept. 2025); foreslår Nkom som koordinerende markedstilsynsmyndighet. Fant ikke om loven er vedtatt. – tidligere beskrivelse: [Arbeidet med norsk KI-lov og tilsynsmyndighet]</t>
  </si>
  <si>
    <t>REG-02.P06</t>
  </si>
  <si>
    <t>Digitaliseringsstrategien har som mål at Norge skal bli verdens mest digitaliserte land, uten et tilsvarende mål for motstandskraft</t>
  </si>
  <si>
    <t>K0307</t>
  </si>
  <si>
    <t>Regjeringen (2024) – Fremtidens digitale Norge – nasjonal digitaliseringsstrategi · regjeringen.no</t>
  </si>
  <si>
    <t>https://regjeringen.no/contentassets/c499c3b6c93740bd989c43d886f65924/no/word/nasjonal-digitaliseringsstrategi.docx</t>
  </si>
  <si>
    <t>«Verdens mest digitaliserte land»: regjeringens mål [K0310] fra digitaliseringsstrategien Fremtidens digitale Norge (2024) [K0307] måler tempo og utbredelse, ikke motstandskraft.</t>
  </si>
  <si>
    <t>ikke verifisert · Lagt til 2026-10-13 (REG-01). · Eksistens (2026-10-25): funnet – Nasjonal digitaliseringsstrategi 2024–2030, lagt fram 26.09.2024 ifølge søket; Word-versjon, pressemelding: https://www.regjeringen.no/no/aktuelt/norge-skal-bli-verdens-mest-digitaliserte-lan/id3055039/</t>
  </si>
  <si>
    <t>K0310</t>
  </si>
  <si>
    <t>Regjeringen (2024) – Norge skal bli verdens mest digitaliserte land · regjeringen.no</t>
  </si>
  <si>
    <t>https://www.regjeringen.no/no/aktuelt/norge-skal-bli-verdens-mest-digitaliserte-lan/id3055039/</t>
  </si>
  <si>
    <t>ikke verifisert · Lagt til 2026-10-13 (REG-02). URL fra deg. Sjekk dato.</t>
  </si>
  <si>
    <t>REG-02.P07</t>
  </si>
  <si>
    <t>Digitaliseringsdepartementet har både ansvaret for å drive digitaliseringen og for KI-reguleringen (rollekonflikt)</t>
  </si>
  <si>
    <t>REG-02.P08</t>
  </si>
  <si>
    <t>Ingen norsk myndighet eier et samlet KI-risikobilde, og det finnes ikke noe nasjonalt register over KI-hendelser</t>
  </si>
  <si>
    <t>K0176</t>
  </si>
  <si>
    <t>NSM (årlig) – Nasjonalt digitalt risikobilde · NSM</t>
  </si>
  <si>
    <t>Ingen eier et samlet KI-risikobilde: DSB [K0195], NSM [K0176] og Datatilsynet ser hver sin bit. Det finnes ikke noe nasjonalt register over KI-hendelser og nestenulykker (jf. OECD AI Incidents Monitor [K0281] og tiltaket i ANB-01). Vi vet ikke hva vi ikke vet.</t>
  </si>
  <si>
    <t xml:space="preserve">ikke verifisert · Eksistens (2026-10-25): usikker – Årlig serie uten oppgitt år; ifølge søket ble «Nasjonalt digitalt risikobilde» fra 2025 slått sammen med NSMs rapport «Risiko». Kandidater: NSM «Risiko 2025» (kap. «Det digitale risikobildet») https://regjeringen.no/contentassets/6290dec36c374ee191e5c7dbba18a258/risiko-2025.pdf ; NSM «Risiko 2026 – </t>
  </si>
  <si>
    <t>K0195</t>
  </si>
  <si>
    <t>DSB – Nasjonalt risikobilde · DSB</t>
  </si>
  <si>
    <t>ikke verifisert · Eksistens (2026-10-25): usikker – Serie uten oppgitt år; ifølge søket het den «Nasjonalt risikobilde» til 2015 og «Analyser av krisescenarioer» (AKS) fra 2017. Kandidater: DSBs AKS-utgave 2019 https://dsb.no/siteassets/rapporter-og-publikasjoner/rapporter/analyser-av-krisescenarioer-2019.pdf ; nyere utgaver ikke funnet i søket – sje</t>
  </si>
  <si>
    <t>K0281</t>
  </si>
  <si>
    <t>OECD – OECD AI Incidents Monitor · OECD</t>
  </si>
  <si>
    <t>https://oecd.ai/en/incidents</t>
  </si>
  <si>
    <t>ikke verifisert · Lagt til 2026-10-13 fra hullanalysen. · Eksistens (2026-10-25): funnet – Nå kalt «AI Incidents and Hazards Monitor» (AIM), betaversjon; metodeside https://oecd.ai/en/incidents-methodology</t>
  </si>
  <si>
    <t>REG-02.P09</t>
  </si>
  <si>
    <t>KI-forordningen fordeler plikter langs verdikjeden, men bare innenfor EU</t>
  </si>
  <si>
    <t>K0001</t>
  </si>
  <si>
    <t>Europaparlamentet og Rådet (2024) – Forordning (EU) 2024/1689 om kunstig intelligens (KI-forordningen, AI Act) · EUR-Lex</t>
  </si>
  <si>
    <t xml:space="preserve">Det KI-forordningen løser: den fordeler plikter langs verdikjeden – leverandør, idriftsetter, importør og distributør – og KI-kontoret i EU har ansvaret for de store modellene [K0001].
Strukturell forklaring: KI-forordningen er bygget som produktsikkerhetsregulering, ikke ut fra en trusselmodell [K0001]. Cybersikkerhet ligger i andre regelverk – NIS2 [K0286] og Cyber Resilience Act [K0287]. Hullene mellom regelverkene speiler hullene mellom fagmiljøene.
KI-forordningen ser øyeblikket, ikke forløpet: risiko vurderes per bruksområde, på det tidspunktet systemet tas i bruk [K0001]. Summen over tid – avhengighet, kompetanseforvitring (LIV-03, OKO-01), monokultur (TVG-06) – fanges ikke opp.
Unntak i KI-forordningen: militær bruk, forsvar og nasjonal sikkerhet er unntatt helt [K0001] (SIK-06, SIK-09). Forskning, privat bruk og deler av åpen kildekode har også unntak (SIK-19).</t>
  </si>
  <si>
    <t>ikke verifisert · Brukes om art. 3, 4, 5, åpenhetskrav og grunnmodeller</t>
  </si>
  <si>
    <t>REG-02.P10</t>
  </si>
  <si>
    <t>Det reviderte produktansvarsdirektivet dekker ikke rene formuestap eller diskriminering (sjekk)</t>
  </si>
  <si>
    <t>K0109</t>
  </si>
  <si>
    <t>EU – Revidert produktansvarsdirektiv · EUR-Lex</t>
  </si>
  <si>
    <t>Erstatningsansvaret: det reviderte produktansvarsdirektivet [K0109] dekker trolig ikke rene formuestap eller diskriminering (sjekk). Den som skades økonomisk eller forskjellsbehandles av et KI-system, har dermed ingen klar vei til erstatning.</t>
  </si>
  <si>
    <t>ikke verifisert</t>
  </si>
  <si>
    <t>REG-02.P11</t>
  </si>
  <si>
    <t>KI-forordningen er bygget som produktsikkerhetsregulering, mens cybersikkerhet reguleres i andre regelverk (NIS2, CRA)</t>
  </si>
  <si>
    <t>K0286</t>
  </si>
  <si>
    <t>Europaparlamentet og Rådet (2022) – Direktiv (EU) 2022/2555 (NIS2) · EUR-Lex</t>
  </si>
  <si>
    <t>Strukturell forklaring: KI-forordningen er bygget som produktsikkerhetsregulering, ikke ut fra en trusselmodell [K0001]. Cybersikkerhet ligger i andre regelverk – NIS2 [K0286] og Cyber Resilience Act [K0287]. Hullene mellom regelverkene speiler hullene mellom fagmiljøene.</t>
  </si>
  <si>
    <t>ikke verifisert · Lagt til 2026-10-13 (REG-01). Sjekk EØS-status og forholdet til digitalsikkerhetsloven.</t>
  </si>
  <si>
    <t>K0287</t>
  </si>
  <si>
    <t>Europaparlamentet og Rådet (2024) – Forordning (EU) 2024/2847 om cybersikkerhetskrav til produkter med digitale elementer (Cyber Resilience Act) · EUR-Lex</t>
  </si>
  <si>
    <t>ikke verifisert · Lagt til 2026-10-13 (REG-01). Sjekk EØS-status.</t>
  </si>
  <si>
    <t>REG-02.P12</t>
  </si>
  <si>
    <t>KI-forordningen vurderer risiko per bruksområde ved idriftsettelse, ikke samlede effekter over tid</t>
  </si>
  <si>
    <t>REG-02.P13</t>
  </si>
  <si>
    <t>Forordningens begrep om systemisk risiko gjelder modellens kapasitet (regnekraft), ikke samfunnets avhengighet av modellen</t>
  </si>
  <si>
    <t>REG-02.P14</t>
  </si>
  <si>
    <t>Høyrisikoreglene i KI-forordningen foreslås utsatt til 2027–28</t>
  </si>
  <si>
    <t>K0292</t>
  </si>
  <si>
    <t>EU-kommisjonen (2025 (nov.)) – [Digital omnibus – forslag om forenkling og utsettelse, bl.a. av høyrisikoreglene i KI-forordningen] · EU-kommisjonen</t>
  </si>
  <si>
    <t>Vinduet: forbudene i KI-forordningen gjaldt fra februar 2025 og reglene for store modeller fra august 2025. Høyrisikoreglene foreslås utsatt til 2027–28 gjennom den digitale omnibusen [K0292] (sjekk).</t>
  </si>
  <si>
    <t>ikke verifisert · Lagt til 2026-10-13 (REG-01). Sjekk innhold og status.</t>
  </si>
  <si>
    <t>REG-02.P15</t>
  </si>
  <si>
    <t>Systemer som tas i bruk før reguleringen trer i kraft, blir infrastruktur som er vanskelig å regulere i ettertid (stiavhengighet)</t>
  </si>
  <si>
    <t>REG-02.P16</t>
  </si>
  <si>
    <t>KI-forordningen unntar militær bruk, forsvar og nasjonal sikkerhet</t>
  </si>
  <si>
    <t>REG-02.P17</t>
  </si>
  <si>
    <t>Harmoniserte standarder med rettsvirkning har vært bak betalingsmur; EU-domstolen tok stilling til tilgangen i 2024</t>
  </si>
  <si>
    <t>K0303</t>
  </si>
  <si>
    <t>CEN-CENELEC JTC 21 – [Harmoniserte standarder under KI-forordningen] · CEN-CENELEC</t>
  </si>
  <si>
    <t>Standardisering som eget silo: de harmoniserte standardene [K0303] skrives i standardiseringsorganer der industrien er tungt representert, og har vært bak betalingsmur selv om de har rettsvirkning. EU-domstolen tok stilling til tilgangen i 2024 [K0313] (sjekk).</t>
  </si>
  <si>
    <t>ikke verifisert · Lagt til 2026-10-13 (REG-01). Sjekk status. · Eksistens (2026-10-25): usikker – Generell beskrivelse av standarder under utvikling; ingen enkeltstandard. Statusoversikt (kommentar, ikke CEN-CENELEC selv): https://aistandardshub.org/navigating-the-ai-act-standards-maze/ ; søket indikerer forsinkelse, levering tidligst slutten av 2026.</t>
  </si>
  <si>
    <t>K0313</t>
  </si>
  <si>
    <t>EU-domstolen (2024) – [Public.Resource.Org og Right to Know mot Kommisjonen (C-588/21 P) – tilgang til harmoniserte standarder] · EU-domstolen</t>
  </si>
  <si>
    <t>https://eur-lex.europa.eu/eli/C/2024/2900/oj/eng</t>
  </si>
  <si>
    <t>ikke verifisert · Lagt til 2026-10-13 (REG-02). Sjekk saksnummer og utfall. · Eksistens (2026-10-25): funnet – C-588/21 P, storkammerdom 05.03.2024 (ECLI:EU:C:2024:201); URL er EUR-Lex-oppføring i Official Journal, dommens fulle tittel ikke sett. Domstolen opphevet Rettens dom og ga tilgang til harmoniserte leketøysstandarder.</t>
  </si>
  <si>
    <t>REG-02.P18</t>
  </si>
  <si>
    <t>Evaluering av KI-modeller gjøres i stor grad av leverandørene selv, og myndighetene mangler uavhengig testkapasitet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</si>
</sst>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id3112327/" TargetMode="External"/><Relationship Id="rId2" Type="http://schemas.openxmlformats.org/officeDocument/2006/relationships/hyperlink" Target="https://regjeringen.no/contentassets/c499c3b6c93740bd989c43d886f65924/no/word/nasjonal-digitaliseringsstrategi.docx" TargetMode="External"/><Relationship Id="rId3" Type="http://schemas.openxmlformats.org/officeDocument/2006/relationships/hyperlink" Target="https://www.regjeringen.no/no/aktuelt/norge-skal-bli-verdens-mest-digitaliserte-lan/id3055039/" TargetMode="External"/><Relationship Id="rId4" Type="http://schemas.openxmlformats.org/officeDocument/2006/relationships/hyperlink" Target="https://www.regjeringen.no/id3112327/" TargetMode="External"/><Relationship Id="rId5" Type="http://schemas.openxmlformats.org/officeDocument/2006/relationships/hyperlink" Target="https://regjeringen.no/contentassets/c499c3b6c93740bd989c43d886f65924/no/word/nasjonal-digitaliseringsstrategi.docx" TargetMode="External"/><Relationship Id="rId6" Type="http://schemas.openxmlformats.org/officeDocument/2006/relationships/hyperlink" Target="https://oecd.ai/en/incidents" TargetMode="External"/><Relationship Id="rId7" Type="http://schemas.openxmlformats.org/officeDocument/2006/relationships/hyperlink" Target="https://eur-lex.europa.eu/eli/C/2024/2900/oj/e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69</v>
      </c>
      <c r="D4" s="9" t="s">
        <v>70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79</v>
      </c>
      <c r="B5" s="9" t="s">
        <v>80</v>
      </c>
      <c r="C5" s="9" t="s">
        <v>69</v>
      </c>
      <c r="D5" s="9" t="s">
        <v>70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81</v>
      </c>
      <c r="B6" s="9" t="s">
        <v>82</v>
      </c>
      <c r="C6" s="9" t="s">
        <v>83</v>
      </c>
      <c r="D6" s="9" t="s">
        <v>84</v>
      </c>
      <c r="E6" s="10" t="s">
        <v>85</v>
      </c>
      <c r="F6" s="9" t="s">
        <v>86</v>
      </c>
      <c r="G6" s="9" t="s">
        <v>87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88</v>
      </c>
      <c r="B7" s="9" t="s">
        <v>89</v>
      </c>
      <c r="C7" s="9" t="s">
        <v>90</v>
      </c>
      <c r="D7" s="9" t="s">
        <v>91</v>
      </c>
      <c r="E7" s="10" t="s">
        <v>92</v>
      </c>
      <c r="F7" s="9" t="s">
        <v>93</v>
      </c>
      <c r="G7" s="9" t="s">
        <v>94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95</v>
      </c>
      <c r="D8" s="9" t="s">
        <v>96</v>
      </c>
      <c r="E8" s="10" t="s">
        <v>97</v>
      </c>
      <c r="F8" s="9" t="s">
        <v>93</v>
      </c>
      <c r="G8" s="9" t="s">
        <v>98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99</v>
      </c>
      <c r="B9" s="9" t="s">
        <v>100</v>
      </c>
      <c r="C9" s="9" t="s">
        <v>83</v>
      </c>
      <c r="D9" s="9" t="s">
        <v>84</v>
      </c>
      <c r="E9" s="10" t="s">
        <v>85</v>
      </c>
      <c r="F9" s="9" t="s">
        <v>86</v>
      </c>
      <c r="G9" s="9" t="s">
        <v>87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90</v>
      </c>
      <c r="D10" s="9" t="s">
        <v>91</v>
      </c>
      <c r="E10" s="10" t="s">
        <v>92</v>
      </c>
      <c r="F10" s="9" t="s">
        <v>93</v>
      </c>
      <c r="G10" s="9" t="s">
        <v>94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101</v>
      </c>
      <c r="B11" s="9" t="s">
        <v>102</v>
      </c>
      <c r="C11" s="9" t="s">
        <v>103</v>
      </c>
      <c r="D11" s="9" t="s">
        <v>104</v>
      </c>
      <c r="E11" s="9" t="s">
        <v>3</v>
      </c>
      <c r="F11" s="9" t="s">
        <v>105</v>
      </c>
      <c r="G11" s="9" t="s">
        <v>106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107</v>
      </c>
      <c r="D12" s="9" t="s">
        <v>108</v>
      </c>
      <c r="E12" s="9" t="s">
        <v>3</v>
      </c>
      <c r="F12" s="9" t="s">
        <v>105</v>
      </c>
      <c r="G12" s="9" t="s">
        <v>109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110</v>
      </c>
      <c r="D13" s="9" t="s">
        <v>111</v>
      </c>
      <c r="E13" s="10" t="s">
        <v>112</v>
      </c>
      <c r="F13" s="9" t="s">
        <v>105</v>
      </c>
      <c r="G13" s="9" t="s">
        <v>113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114</v>
      </c>
      <c r="B14" s="9" t="s">
        <v>115</v>
      </c>
      <c r="C14" s="9" t="s">
        <v>116</v>
      </c>
      <c r="D14" s="9" t="s">
        <v>117</v>
      </c>
      <c r="E14" s="9" t="s">
        <v>3</v>
      </c>
      <c r="F14" s="9" t="s">
        <v>118</v>
      </c>
      <c r="G14" s="9" t="s">
        <v>119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120</v>
      </c>
      <c r="B15" s="9" t="s">
        <v>121</v>
      </c>
      <c r="C15" s="9" t="s">
        <v>122</v>
      </c>
      <c r="D15" s="9" t="s">
        <v>123</v>
      </c>
      <c r="E15" s="9" t="s">
        <v>3</v>
      </c>
      <c r="F15" s="9" t="s">
        <v>124</v>
      </c>
      <c r="G15" s="9" t="s">
        <v>125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126</v>
      </c>
      <c r="B16" s="9" t="s">
        <v>127</v>
      </c>
      <c r="C16" s="9" t="s">
        <v>116</v>
      </c>
      <c r="D16" s="9" t="s">
        <v>117</v>
      </c>
      <c r="E16" s="9" t="s">
        <v>3</v>
      </c>
      <c r="F16" s="9" t="s">
        <v>118</v>
      </c>
      <c r="G16" s="9" t="s">
        <v>119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/>
      <c r="B17" s="9"/>
      <c r="C17" s="9" t="s">
        <v>128</v>
      </c>
      <c r="D17" s="9" t="s">
        <v>129</v>
      </c>
      <c r="E17" s="9" t="s">
        <v>3</v>
      </c>
      <c r="F17" s="9" t="s">
        <v>130</v>
      </c>
      <c r="G17" s="9" t="s">
        <v>131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/>
      <c r="B18" s="9"/>
      <c r="C18" s="9" t="s">
        <v>132</v>
      </c>
      <c r="D18" s="9" t="s">
        <v>133</v>
      </c>
      <c r="E18" s="9" t="s">
        <v>3</v>
      </c>
      <c r="F18" s="9" t="s">
        <v>130</v>
      </c>
      <c r="G18" s="9" t="s">
        <v>134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 t="s">
        <v>135</v>
      </c>
      <c r="B19" s="9" t="s">
        <v>136</v>
      </c>
      <c r="C19" s="9" t="s">
        <v>116</v>
      </c>
      <c r="D19" s="9" t="s">
        <v>117</v>
      </c>
      <c r="E19" s="9" t="s">
        <v>3</v>
      </c>
      <c r="F19" s="9" t="s">
        <v>118</v>
      </c>
      <c r="G19" s="9" t="s">
        <v>119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3" customFormat="1" x14ac:dyDescent="0.25">
      <c r="A20" s="9" t="s">
        <v>137</v>
      </c>
      <c r="B20" s="9" t="s">
        <v>138</v>
      </c>
      <c r="C20" s="9" t="s">
        <v>116</v>
      </c>
      <c r="D20" s="9" t="s">
        <v>117</v>
      </c>
      <c r="E20" s="9" t="s">
        <v>3</v>
      </c>
      <c r="F20" s="9" t="s">
        <v>118</v>
      </c>
      <c r="G20" s="9" t="s">
        <v>119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s="3" customFormat="1" x14ac:dyDescent="0.25">
      <c r="A21" s="9" t="s">
        <v>139</v>
      </c>
      <c r="B21" s="9" t="s">
        <v>140</v>
      </c>
      <c r="C21" s="9" t="s">
        <v>141</v>
      </c>
      <c r="D21" s="9" t="s">
        <v>142</v>
      </c>
      <c r="E21" s="9" t="s">
        <v>3</v>
      </c>
      <c r="F21" s="9" t="s">
        <v>143</v>
      </c>
      <c r="G21" s="9" t="s">
        <v>144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s="3" customFormat="1" x14ac:dyDescent="0.25">
      <c r="A22" s="9" t="s">
        <v>145</v>
      </c>
      <c r="B22" s="9" t="s">
        <v>146</v>
      </c>
      <c r="C22" s="9" t="s">
        <v>69</v>
      </c>
      <c r="D22" s="9" t="s">
        <v>70</v>
      </c>
      <c r="E22" s="9" t="s">
        <v>3</v>
      </c>
      <c r="F22" s="9" t="s">
        <v>3</v>
      </c>
      <c r="G22" s="9" t="s">
        <v>3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s="3" customFormat="1" x14ac:dyDescent="0.25">
      <c r="A23" s="9" t="s">
        <v>147</v>
      </c>
      <c r="B23" s="9" t="s">
        <v>148</v>
      </c>
      <c r="C23" s="9" t="s">
        <v>116</v>
      </c>
      <c r="D23" s="9" t="s">
        <v>117</v>
      </c>
      <c r="E23" s="9" t="s">
        <v>3</v>
      </c>
      <c r="F23" s="9" t="s">
        <v>118</v>
      </c>
      <c r="G23" s="9" t="s">
        <v>119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s="3" customFormat="1" x14ac:dyDescent="0.25">
      <c r="A24" s="9" t="s">
        <v>149</v>
      </c>
      <c r="B24" s="9" t="s">
        <v>150</v>
      </c>
      <c r="C24" s="9" t="s">
        <v>151</v>
      </c>
      <c r="D24" s="9" t="s">
        <v>152</v>
      </c>
      <c r="E24" s="9" t="s">
        <v>3</v>
      </c>
      <c r="F24" s="9" t="s">
        <v>153</v>
      </c>
      <c r="G24" s="9" t="s">
        <v>154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s="3" customFormat="1" x14ac:dyDescent="0.25">
      <c r="A25" s="9"/>
      <c r="B25" s="9"/>
      <c r="C25" s="9" t="s">
        <v>155</v>
      </c>
      <c r="D25" s="9" t="s">
        <v>156</v>
      </c>
      <c r="E25" s="10" t="s">
        <v>157</v>
      </c>
      <c r="F25" s="9" t="s">
        <v>153</v>
      </c>
      <c r="G25" s="9" t="s">
        <v>158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s="3" customFormat="1" x14ac:dyDescent="0.25">
      <c r="A26" s="9" t="s">
        <v>159</v>
      </c>
      <c r="B26" s="9" t="s">
        <v>160</v>
      </c>
      <c r="C26" s="9" t="s">
        <v>69</v>
      </c>
      <c r="D26" s="9" t="s">
        <v>70</v>
      </c>
      <c r="E26" s="9" t="s">
        <v>3</v>
      </c>
      <c r="F26" s="9" t="s">
        <v>3</v>
      </c>
      <c r="G26" s="9" t="s">
        <v>3</v>
      </c>
      <c r="H26" s="5"/>
      <c r="I26" s="5"/>
      <c r="J26" s="5"/>
      <c r="K26" s="5"/>
      <c r="L26" s="5"/>
      <c r="M26" s="5"/>
      <c r="N26" s="5"/>
      <c r="O26" s="5"/>
      <c r="P26" s="5"/>
      <c r="Q26" s="5"/>
    </row>
  </sheetData>
  <autoFilter ref="A1:Q1"/>
  <mergeCells count="40">
    <mergeCell ref="A7:A8"/>
    <mergeCell ref="B7:B8"/>
    <mergeCell ref="L7:L8"/>
    <mergeCell ref="M7:M8"/>
    <mergeCell ref="N7:N8"/>
    <mergeCell ref="O7:O8"/>
    <mergeCell ref="P7:P8"/>
    <mergeCell ref="Q7:Q8"/>
    <mergeCell ref="A9:A10"/>
    <mergeCell ref="B9:B10"/>
    <mergeCell ref="L9:L10"/>
    <mergeCell ref="M9:M10"/>
    <mergeCell ref="N9:N10"/>
    <mergeCell ref="O9:O10"/>
    <mergeCell ref="P9:P10"/>
    <mergeCell ref="Q9:Q10"/>
    <mergeCell ref="A11:A13"/>
    <mergeCell ref="B11:B13"/>
    <mergeCell ref="L11:L13"/>
    <mergeCell ref="M11:M13"/>
    <mergeCell ref="N11:N13"/>
    <mergeCell ref="O11:O13"/>
    <mergeCell ref="P11:P13"/>
    <mergeCell ref="Q11:Q13"/>
    <mergeCell ref="A16:A18"/>
    <mergeCell ref="B16:B18"/>
    <mergeCell ref="L16:L18"/>
    <mergeCell ref="M16:M18"/>
    <mergeCell ref="N16:N18"/>
    <mergeCell ref="O16:O18"/>
    <mergeCell ref="P16:P18"/>
    <mergeCell ref="Q16:Q18"/>
    <mergeCell ref="A24:A25"/>
    <mergeCell ref="B24:B25"/>
    <mergeCell ref="L24:L25"/>
    <mergeCell ref="M24:M25"/>
    <mergeCell ref="N24:N25"/>
    <mergeCell ref="O24:O25"/>
    <mergeCell ref="P24:P25"/>
    <mergeCell ref="Q24:Q25"/>
  </mergeCells>
  <dataValidations count="8">
    <dataValidation type="list" allowBlank="1" sqref="H10:H21">
      <formula1>"verifisert,delvis,sekundær,ikke funnet,feil"</formula1>
    </dataValidation>
    <dataValidation type="list" allowBlank="1" sqref="H23:H25">
      <formula1>"verifisert,delvis,sekundær,ikke funnet,feil"</formula1>
    </dataValidation>
    <dataValidation type="list" allowBlank="1" sqref="H3">
      <formula1>"verifisert,delvis,sekundær,ikke funnet,feil"</formula1>
    </dataValidation>
    <dataValidation type="list" allowBlank="1" sqref="H6:H21">
      <formula1>"verifisert,delvis,sekundær,ikke funnet,feil"</formula1>
    </dataValidation>
    <dataValidation type="list" allowBlank="1" sqref="J10:J26">
      <formula1>"ja,nei,preprint"</formula1>
    </dataValidation>
    <dataValidation type="list" allowBlank="1" sqref="J2:J26">
      <formula1>"ja,nei,preprint"</formula1>
    </dataValidation>
    <dataValidation type="list" allowBlank="1" showErrorMessage="1" sqref="L10:P26">
      <formula1>"0,1,2,3"</formula1>
    </dataValidation>
    <dataValidation type="list" allowBlank="1" showErrorMessage="1" sqref="L2:P26">
      <formula1>"0,1,2,3"</formula1>
    </dataValidation>
  </dataValidations>
  <hyperlinks>
    <hyperlink ref="E6" r:id="rId1"/>
    <hyperlink ref="E7" r:id="rId2"/>
    <hyperlink ref="E8" r:id="rId3"/>
    <hyperlink ref="E9" r:id="rId4"/>
    <hyperlink ref="E10" r:id="rId5"/>
    <hyperlink ref="E13" r:id="rId6"/>
    <hyperlink ref="E25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