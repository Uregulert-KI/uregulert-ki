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<sst xmlns="http://schemas.openxmlformats.org/spreadsheetml/2006/main" count="197" uniqueCount="169">
  <si>
    <t>Sjekkpakke LIV-12: Funksjonsnedsettelse og nevrodivergens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</si>
  <si>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</si>
  <si>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</si>
  <si>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</si>
  <si>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</si>
  <si>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</si>
  <si>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</si>
  <si>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</si>
  <si>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</si>
  <si>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</si>
  <si>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</si>
  <si>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</si>
  <si>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</si>
  <si>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</si>
  <si>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</si>
  <si>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</si>
  <si>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</si>
  <si>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</si>
  <si>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</si>
  <si>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</si>
  <si>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</si>
  <si>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</si>
  <si>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</si>
  <si>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</si>
  <si>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</si>
  <si>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</si>
  <si>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</si>
  <si>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</si>
  <si>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</si>
  <si>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</si>
  <si>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</si>
  <si>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</si>
  <si>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</si>
  <si>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</si>
  <si>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</si>
  <si>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</si>
  <si>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</si>
  <si>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</si>
  <si>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</si>
  <si>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</si>
  <si>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</si>
  <si>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</si>
  <si>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</si>
  <si>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</si>
  <si>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</si>
  <si>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</si>
  <si>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</si>
  <si>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</si>
  <si>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</si>
  <si>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</si>
  <si>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</si>
  <si>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</si>
  <si>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</si>
  <si>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</si>
  <si>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</si>
  <si>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</si>
  <si>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</si>
  <si>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</si>
  <si>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</si>
  <si>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</si>
  <si>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</si>
  <si>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</si>
  <si>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</si>
  <si>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</si>
  <si>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</si>
  <si>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</si>
  <si>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</si>
  <si>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LIV-12.P01</t>
  </si>
  <si>
    <t>KI kan være frigjørende for personer med funksjonsnedsettelse, men også erstatte reell inkludering</t>
  </si>
  <si>
    <t>mangler</t>
  </si>
  <si>
    <t>Ingen kilde ennå. Fant du en? Lim inn lenken i «Riktig eller ny lenke».</t>
  </si>
  <si>
    <t>LIV-12.P02</t>
  </si>
  <si>
    <t>Datadrevne systemer fungerer dårligst for personer som avviker fra flertallet i datagrunnlaget</t>
  </si>
  <si>
    <t>K0516</t>
  </si>
  <si>
    <t>Treviranus – [Om KI, funksjonsnedsettelse og «avvikere» i datasett – hvorfor datadrevne systemer fungerer dårligst for dem utenfor normalfordelingen]</t>
  </si>
  <si>
    <t>Modellene optimaliseres for flertallet: mennesker med funksjonsnedsettelser er avvikere i nesten alle datasett, og datadrevne systemer fungerer derfor dårligst for dem som trenger dem mest (Treviranus) [K0516] (sjekk).</t>
  </si>
  <si>
    <t>ikke verifisert · Lagt til 2026-10-13 (LIV-12). Sjekk konkret tekst og år. · Eksistens (2026-10-25): usikker – Ingen konkret tekst av Treviranus funnet. Kandidater: CBC Spark-intervju «AI's problem with disability and diversity» https://www.cbc.ca/radio/spark/362-machine-learning-outliers-smart-device-ownership-and-more-1.4279433/ai-s-problem-with-disability-and-diversity-1.4712521 ; foredrag «The value of t</t>
  </si>
  <si>
    <t>LIV-12.P03</t>
  </si>
  <si>
    <t>Talegjenkjenning har høyere feilrate for utydelig tale</t>
  </si>
  <si>
    <t>K0517</t>
  </si>
  <si>
    <t>[ukjent] – [Feilrater i talegjenkjenning for utydelig tale (dysartri, bl.a. ved CP, ALS og etter slag)]</t>
  </si>
  <si>
    <t>Talegjenkjenning: feilraten er mye høyere for utydelig tale, for eksempel ved CP, ALS og etter slag [K0517] (sjekk). Google startet Project Euphonia for å samle inn atypisk tale [K0518] – det viser at problemet er reelt.</t>
  </si>
  <si>
    <t>ikke verifisert · Lagt til 2026-10-13 (LIV-12). Må finnes. · Eksistens (2026-10-25): usikker – Generell beskrivelse. Kandidater: Hui, Zhang og Mohan «Enhancing AAC Software for Dysarthric Speakers in e-Health Settings: An Evaluation Using TORGO» (2024) https://arxiv.org/abs/2411.00980 ; De Russis og Corno (2019) om Google Cloud Speech og ALS/CP, bare sett som sekundærsitat (PMC9567308), titte</t>
  </si>
  <si>
    <t>K0518</t>
  </si>
  <si>
    <t>Google (2019) – Project Euphonia's Personalized Speech Recognition for Non-Standard Speech · Google</t>
  </si>
  <si>
    <t>https://research.google/blog/project-euphonias-personalized-speech-recognition-for-non-standard-speech/</t>
  </si>
  <si>
    <t>ikke verifisert · Lagt til 2026-10-13 (LIV-12). Sjekk. · Eksistens (2026-10-25): funnet – Bloggpost fra august 2019 (tittel med typografisk apostrof). Tilhørende artikkel: «Personalizing ASR for Dysarthric and Accented Speech with Limited Data» (Interspeech 2019). – tidligere beskrivelse: [Project Euphonia – innsamling av atypisk tale for bedre talegjenkjenning]</t>
  </si>
  <si>
    <t>LIV-12.P04</t>
  </si>
  <si>
    <t>Språkmodeller merker tekster om funksjonsnedsettelser som negative eller giftige</t>
  </si>
  <si>
    <t>K0519</t>
  </si>
  <si>
    <t>Hutchinson mfl. (2020) – Social Biases in NLP Models as Barriers for Persons with Disabilities · ACL</t>
  </si>
  <si>
    <t>https://aclanthology.org/2020.acl-main.487</t>
  </si>
  <si>
    <t>Språkmodeller: modeller som skal finne «giftig» innhold, merker vanlige tekster om funksjonsnedsettelser som negative eller giftige (Hutchinson mfl., 2020) [K0519].</t>
  </si>
  <si>
    <t>ikke verifisert · Lagt til 2026-10-13 (LIV-12). Sjekk. · Eksistens (2026-10-25): funnet – DOI 10.18653/v1/2020.acl-main.487 sett; arXiv 2005.00813. – tidligere beskrivelse: [Social Biases in NLP Models as Barriers for Persons with Disabilities]</t>
  </si>
  <si>
    <t>LIV-12.P05</t>
  </si>
  <si>
    <t>KI-baserte eksamens- og rekrutteringsverktøy kan slå ut negativt på tics, blikk og mimikk</t>
  </si>
  <si>
    <t>K0520</t>
  </si>
  <si>
    <t>[ukjent] – [Eksamensovervåking med KI og rekrutteringsverktøy som slår ut på tics, blikk og mimikk hos personer med funksjonsnedsettelser]</t>
  </si>
  <si>
    <t>Eksamen og rekruttering: systemer som tolker øyebevegelser, ansiktsuttrykk og tonefall, kan slå ut på tics, unngått blikkontakt eller avvikende mimikk [K0520] (sjekk). HireVue sluttet med ansiktsanalyse i 2021 etter kritikk [K0521] (sjekk). Kobling til LIV-06 og LIV-02.</t>
  </si>
  <si>
    <t>ikke verifisert · Lagt til 2026-10-13 (LIV-12). Må finnes. · Eksistens (2026-10-25): usikker – Samlebeskrivelse. Kandidat for eksamensdelen: CDT, artikkel om automatisk eksamensovervåking og funksjonshemmede studenter https://cdt.org/insights/how-automated-test-proctoring-software-discriminates-against-disabled-students/ (tittel sett bare med små bokstaver); ingen konkret kilde funnet for rek</t>
  </si>
  <si>
    <t>K0521</t>
  </si>
  <si>
    <t>[ukjent – journalistikk] (2021) – [HireVue sluttet med ansiktsanalyse i rekruttering etter kritikk]</t>
  </si>
  <si>
    <t>ikke verifisert · Lagt til 2026-10-13 (LIV-12). Sjekk. · Eksistens (2026-10-25): usikker – Hendelsen (HireVue fjernet ansiktsanalyse, kunngjort januar 2021) er dekket av flere medier; ikke avgjort hvilken artikkel kilden mener. Kandidater: SHRM «HireVue Discontinues Facial Analysis Screening» https://www.shrm.org/in/topics-tools/news/talent-acquisition/hirevue-discontinues-facial-analysis</t>
  </si>
  <si>
    <t>LIV-12.P06</t>
  </si>
  <si>
    <t>Brukerstyrt personlig assistanse er en lovfestet rettighet for personer med store behov</t>
  </si>
  <si>
    <t>K0522</t>
  </si>
  <si>
    <t>Stortinget (2015) – [Pasient- og brukerrettighetsloven – rett til brukerstyrt personlig assistanse (BPA)] · Lovdata</t>
  </si>
  <si>
    <t>Norsk forankring: brukerstyrt personlig assistanse (BPA) har vært en rettighet siden 2015 for dem under 67 år med store behov [K0522] (sjekk). BPA bygger på ideologien om independent living – brukeren styrer selv [K0523]. Det assistenten kan, er taus kunnskap om én bestemt person.</t>
  </si>
  <si>
    <t>ikke verifisert · Lagt til 2026-10-13 (LIV-12). Sjekk paragraf, aldersgrense og vilkår.</t>
  </si>
  <si>
    <t>LIV-12.P07</t>
  </si>
  <si>
    <t>Gjentatte misforståelser fra stemmeassistenter gir frustrasjon og skam hos brukere med utydelig tale</t>
  </si>
  <si>
    <t>K0524</t>
  </si>
  <si>
    <t>[ukjent] – [Erfaringer med frustrasjon og skam hos brukere med utydelig tale som bruker stemmeassistenter]</t>
  </si>
  <si>
    <t>Selvfølelse: «Beklager, jeg forsto ikke det», for tiende gang den dagen. For noen som har blitt misforstått hele livet, blir det enda en bekreftelse på å ikke bli forstått [K0524] (sjekk).</t>
  </si>
  <si>
    <t>ikke verifisert · Lagt til 2026-10-13 (LIV-12). Må finnes. · Eksistens (2026-10-25): usikker – Generell beskrivelse. Kandidater om dysartri og stemmeassistenter (titler ikke sett ordrett): Jaddoh mfl. i Universal Access in the Information Society https://link.springer.com/article/10.1007/s10209-023-01037-3 ; JMIR Rehabilitation 2025 https://rehab.jmir.org/2025/1/e75044/</t>
  </si>
  <si>
    <t>LIV-12.P08</t>
  </si>
  <si>
    <t>ADHD henger sammen med mer problematisk bruk av internett og spill</t>
  </si>
  <si>
    <t>K0525</t>
  </si>
  <si>
    <t>[ukjent] – [Metaanalyser om ADHD og problematisk bruk av internett og spill]</t>
  </si>
  <si>
    <t>ADHD: impulsivitet og sterk respons på belønning henger sammen med mer problematisk bruk av spill og internett [K0525] (sjekk). Variabel belønning: LIV-04.</t>
  </si>
  <si>
    <t>ikke verifisert · Lagt til 2026-10-13 (LIV-12). Må finnes. · Eksistens (2026-10-25): usikker – Generell beskrivelse; flere metaanalyser finnes. Kandidater (titler ikke sett ordrett): BMC Psychiatry 2017, ADHD og internettavhengighet, 15 studier https://link.springer.com/10.1186/s12888-017-1408-x ; Journal of Behavioral Addictions 2022, barn og unge med ADHD og problematisk internettbruk https</t>
  </si>
  <si>
    <t>LIV-12.P09</t>
  </si>
  <si>
    <t>KI-forordningen forbyr å utnytte sårbarhet knyttet til funksjonsnedsettelse, men bare ved betydelig skade</t>
  </si>
  <si>
    <t>K0001</t>
  </si>
  <si>
    <t>Europaparlamentet og Rådet (2024) – Forordning (EU) 2024/1689 om kunstig intelligens (KI-forordningen, AI Act) · EUR-Lex</t>
  </si>
  <si>
    <t>Kontrast til LIV-09: KI-forordningen art. 5 forbyr å utnytte sårbarhet knyttet til funksjonsnedsettelse [K0001]. Her står gruppen på lista, i motsetning til sorg. Men forbudet krever betydelig skade, og det treffer dårlig når et generelt produkt er designet for alle og skader noen mer enn andre.</t>
  </si>
  <si>
    <t>ikke verifisert · Brukes om art. 3, 4, 5, åpenhetskrav og grunnmodeller</t>
  </si>
  <si>
    <t>LIV-12.P10</t>
  </si>
  <si>
    <t>Kontrollerte forsøk viste at det var hjelperen, ikke personen, som skrev ved fasilitert kommunikasjon</t>
  </si>
  <si>
    <t>K0528</t>
  </si>
  <si>
    <t>Wheeler mfl. (1993) – An experimental assessment of facilitated communication · Mental Retardation</t>
  </si>
  <si>
    <t>Det har skjedd før: ved «fasilitert kommunikasjon» på 1990-tallet viste kontrollerte forsøk at det var hjelperen, ikke personen, som skrev (Wheeler mfl., 1993) [K0528].</t>
  </si>
  <si>
    <t>ikke verifisert · Lagt til 2026-10-13 (LIV-12). Sjekk. · Eksistens (2026-10-25): funnet – Sitat bekreftet i søk; ingen URL til selve artikkelen sett (bare omtale hos facilitatedcommunication.org, en pro-FC-nettside). Registerets norske tittel er en beskrivelse. – tidligere beskrivelse: [Kontrollert evaluering av fasilitert kommunikasjon]</t>
  </si>
  <si>
    <t>LIV-12.P11</t>
  </si>
  <si>
    <t>CRPD gir rett til et selvstendig liv, inkludering og kommunikasjon på egne premisser</t>
  </si>
  <si>
    <t>K0529</t>
  </si>
  <si>
    <t>FN (2006) – Konvensjonen om rettighetene til mennesker med nedsatt funksjonsevne (CRPD) · FN</t>
  </si>
  <si>
    <t>https://www.norway.no/en/missions/un/statements/other-statements/2026/crpd-national-statement/</t>
  </si>
  <si>
    <t>CRPD: FN-konvensjonen om rettighetene til mennesker med nedsatt funksjonsevne [K0529] – art. 19 om å leve selvstendig og være inkludert i samfunnet, og art. 21 om ytringsfrihet og retten til å kommunisere på egne premisser. Debatt om innlemming i menneskerettsloven (sjekk status).</t>
  </si>
  <si>
    <t>ikke verifisert · Lagt til 2026-10-13 (LIV-12). Norge ratifiserte i 2013 (sjekk). Sjekk status for innlemming i menneskerettsloven. · Eksistens (2026-10-25): funnet – Bare Norges FN-uttalelse sett (url er omtale, ikke konvensjonsteksten); ifølge søket ratifiserte Norge 3. juni 2013 (fra ett innspill) og konvensjonen er innlemmet i menneskerettsloven (ifølge Norges FN-uttalelse).</t>
  </si>
  <si>
    <t>LIV-12.P12</t>
  </si>
  <si>
    <t>Krav til universell utforming gjelder grensesnittet, ikke hvor godt en KI-modell fungerer for ulike grupper</t>
  </si>
  <si>
    <t>K0116</t>
  </si>
  <si>
    <t>Stortinget – Likestillings- og diskrimineringsloven</t>
  </si>
  <si>
    <t>Likestillings- og diskrimineringsloven dekker funksjonsnedsettelse og stiller krav om universell utforming av IKT [K0116] (sjekk paragrafer). Tilsynet for universell utforming av IKT [K0530]. Tilgjengelighetsdirektivet [K0531] (sjekk norsk gjennomføring).</t>
  </si>
  <si>
    <t>ikke verifisert</t>
  </si>
  <si>
    <t>K0531</t>
  </si>
  <si>
    <t>Europaparlamentet og Rådet (2019) – Direktiv (EU) 2019/882 om tilgjengelighetskrav for produkter og tjenester (European Accessibility Act) · EUR-Lex</t>
  </si>
  <si>
    <t>https://www.legislation.gov.uk/eudr/2019/882/chapter/I</t>
  </si>
  <si>
    <t>ikke verifisert · Lagt til 2026-10-13 (LIV-12). Gjelder i EU fra 2025. Sjekk norsk gjennomføring. · Eksistens (2026-10-25): funnet – Direktiv (EU) 2019/882; bare kopi på legislation.gov.uk sett, ikke EUR-Lex, og tittelen ikke sett ordrett. Produkter på markedet etter 28. juni 2025 ifølge søket.</t>
  </si>
  <si>
    <t>LIV-12.P13</t>
  </si>
  <si>
    <t>KI-baserte hjelpemidler kan gi blinde og svaksynte bildebeskrivelser</t>
  </si>
  <si>
    <t>K0532</t>
  </si>
  <si>
    <t>Be My Eyes (2023) – [Be My AI – bildebeskrivelse for blinde og svaksynte med språkmodell] · Be My Eyes</t>
  </si>
  <si>
    <t>Be My Eyes med bildebeskrivelse for blinde [K0532], teksting i sanntid for døve og hørselshemmede, lettlest tekst ved dysleksi og utviklingshemming, hjelp til å bryte ned oppgaver ved ADHD, og stemmebank ved ALS [K0533] (sjekk).</t>
  </si>
  <si>
    <t xml:space="preserve">ikke verifisert · Lagt til 2026-10-13 (LIV-12). Sjekk. · Eksistens (2026-10-25): usikker – Be Mys egen produktside ikke sett. Kandidater: OpenAI «Be My Eyes» kundehistorie https://openai.com/index/be-my-eyes ; TechCrunch 2023-03-14 om GPT-4 som «virtual volunteer» https://techcrunch.com/2023/03/14/gpt-4s-first-app-is-a-virtual-volunteer-for-the-visually-impaired (artikkeltittel ikke sett </t>
  </si>
  <si>
    <t>LIV-12.P14</t>
  </si>
  <si>
    <t>Mange med ADHD opplever hyperfokus og har vanskelig for å bryte av belønnende aktiviteter</t>
  </si>
  <si>
    <t>K0639</t>
  </si>
  <si>
    <t>Ashinoff og Abu-Akel (2021) – Hyperfocus: the forgotten frontier of attention · Psychological Research</t>
  </si>
  <si>
    <t>https://doi.org/10.1007/s00426-019-01245-8</t>
  </si>
  <si>
    <t>Ingen stoppunkt rammer hardere ved ADHD: mange med ADHD kan gå inn i hyperfokus på noe som belønner, og har vanskeligere for å bryte av selv [K0639].</t>
  </si>
  <si>
    <t>ikke verifisert · Lagt til 2026-10-15 (LIV-12). Sjekk. · Eksistens (2026-10-25): funnet – Publisert online 2019, i trykt hefte 2021 (bind 85, nr. 1). – tidligere beskrivelse: [Hyperfocus: the forgotten frontier of attention]</t>
  </si>
  <si>
    <t>LIV-12.P15</t>
  </si>
  <si>
    <t>Mange med ADHD har svekket tidsopplevelse</t>
  </si>
  <si>
    <t>K0640</t>
  </si>
  <si>
    <t>[ukjent] – [Metaanalyser om tidsopplevelse ved ADHD]</t>
  </si>
  <si>
    <t>Naturlige stoppunkt – pauser, episodeslutt, lastetider – er da en ekstra viktig hjelp utenfra, og det er nettopp den hjelpen som forsvinner i en KI-samtale (LIV-04, avsnitt I). Forskning tyder også på at mange med ADHD har svekket tidsopplevelse [K0640] (sjekk).</t>
  </si>
  <si>
    <t>ikke verifisert · Lagt til 2026-10-15 (LIV-12). Må finnes. Sjekk funn og styrke. · Eksistens (2026-10-25): usikker – Generell beskrivelse. Kandidat: metaanalyse av 55 studier om «altered perceptual timing abilities» ved ADHD (2022) https://link.springer.com/10.1038/s41598-022-05425-2 ; https://eprints.soton.ac.uk/456003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</si>
</sst>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search.google/blog/project-euphonias-personalized-speech-recognition-for-non-standard-speech/" TargetMode="External"/><Relationship Id="rId2" Type="http://schemas.openxmlformats.org/officeDocument/2006/relationships/hyperlink" Target="https://aclanthology.org/2020.acl-main.487" TargetMode="External"/><Relationship Id="rId3" Type="http://schemas.openxmlformats.org/officeDocument/2006/relationships/hyperlink" Target="https://www.norway.no/en/missions/un/statements/other-statements/2026/crpd-national-statement/" TargetMode="External"/><Relationship Id="rId4" Type="http://schemas.openxmlformats.org/officeDocument/2006/relationships/hyperlink" Target="https://www.legislation.gov.uk/eudr/2019/882/chapter/I" TargetMode="External"/><Relationship Id="rId5" Type="http://schemas.openxmlformats.org/officeDocument/2006/relationships/hyperlink" Target="https://doi.org/10.1007/s00426-019-01245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83</v>
      </c>
      <c r="D5" s="9" t="s">
        <v>84</v>
      </c>
      <c r="E5" s="10" t="s">
        <v>85</v>
      </c>
      <c r="F5" s="9" t="s">
        <v>81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87</v>
      </c>
      <c r="B6" s="9" t="s">
        <v>88</v>
      </c>
      <c r="C6" s="9" t="s">
        <v>89</v>
      </c>
      <c r="D6" s="9" t="s">
        <v>90</v>
      </c>
      <c r="E6" s="10" t="s">
        <v>91</v>
      </c>
      <c r="F6" s="9" t="s">
        <v>92</v>
      </c>
      <c r="G6" s="9" t="s">
        <v>93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94</v>
      </c>
      <c r="B7" s="9" t="s">
        <v>95</v>
      </c>
      <c r="C7" s="9" t="s">
        <v>96</v>
      </c>
      <c r="D7" s="9" t="s">
        <v>97</v>
      </c>
      <c r="E7" s="9" t="s">
        <v>3</v>
      </c>
      <c r="F7" s="9" t="s">
        <v>98</v>
      </c>
      <c r="G7" s="9" t="s">
        <v>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100</v>
      </c>
      <c r="D8" s="9" t="s">
        <v>101</v>
      </c>
      <c r="E8" s="9" t="s">
        <v>3</v>
      </c>
      <c r="F8" s="9" t="s">
        <v>98</v>
      </c>
      <c r="G8" s="9" t="s">
        <v>102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9" t="s">
        <v>3</v>
      </c>
      <c r="F9" s="9" t="s">
        <v>107</v>
      </c>
      <c r="G9" s="9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109</v>
      </c>
      <c r="B10" s="9" t="s">
        <v>110</v>
      </c>
      <c r="C10" s="9" t="s">
        <v>111</v>
      </c>
      <c r="D10" s="9" t="s">
        <v>112</v>
      </c>
      <c r="E10" s="9" t="s">
        <v>3</v>
      </c>
      <c r="F10" s="9" t="s">
        <v>113</v>
      </c>
      <c r="G10" s="9" t="s">
        <v>114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115</v>
      </c>
      <c r="B11" s="9" t="s">
        <v>116</v>
      </c>
      <c r="C11" s="9" t="s">
        <v>117</v>
      </c>
      <c r="D11" s="9" t="s">
        <v>118</v>
      </c>
      <c r="E11" s="9" t="s">
        <v>3</v>
      </c>
      <c r="F11" s="9" t="s">
        <v>119</v>
      </c>
      <c r="G11" s="9" t="s">
        <v>120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121</v>
      </c>
      <c r="B12" s="9" t="s">
        <v>122</v>
      </c>
      <c r="C12" s="9" t="s">
        <v>123</v>
      </c>
      <c r="D12" s="9" t="s">
        <v>124</v>
      </c>
      <c r="E12" s="9" t="s">
        <v>3</v>
      </c>
      <c r="F12" s="9" t="s">
        <v>125</v>
      </c>
      <c r="G12" s="9" t="s">
        <v>126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127</v>
      </c>
      <c r="B13" s="9" t="s">
        <v>128</v>
      </c>
      <c r="C13" s="9" t="s">
        <v>129</v>
      </c>
      <c r="D13" s="9" t="s">
        <v>130</v>
      </c>
      <c r="E13" s="9" t="s">
        <v>3</v>
      </c>
      <c r="F13" s="9" t="s">
        <v>131</v>
      </c>
      <c r="G13" s="9" t="s">
        <v>132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133</v>
      </c>
      <c r="B14" s="9" t="s">
        <v>134</v>
      </c>
      <c r="C14" s="9" t="s">
        <v>135</v>
      </c>
      <c r="D14" s="9" t="s">
        <v>136</v>
      </c>
      <c r="E14" s="10" t="s">
        <v>137</v>
      </c>
      <c r="F14" s="9" t="s">
        <v>138</v>
      </c>
      <c r="G14" s="9" t="s">
        <v>139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140</v>
      </c>
      <c r="B15" s="9" t="s">
        <v>141</v>
      </c>
      <c r="C15" s="9" t="s">
        <v>142</v>
      </c>
      <c r="D15" s="9" t="s">
        <v>143</v>
      </c>
      <c r="E15" s="9" t="s">
        <v>3</v>
      </c>
      <c r="F15" s="9" t="s">
        <v>144</v>
      </c>
      <c r="G15" s="9" t="s">
        <v>145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146</v>
      </c>
      <c r="D16" s="9" t="s">
        <v>147</v>
      </c>
      <c r="E16" s="10" t="s">
        <v>148</v>
      </c>
      <c r="F16" s="9" t="s">
        <v>144</v>
      </c>
      <c r="G16" s="9" t="s">
        <v>149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150</v>
      </c>
      <c r="B17" s="9" t="s">
        <v>151</v>
      </c>
      <c r="C17" s="9" t="s">
        <v>152</v>
      </c>
      <c r="D17" s="9" t="s">
        <v>153</v>
      </c>
      <c r="E17" s="9" t="s">
        <v>3</v>
      </c>
      <c r="F17" s="9" t="s">
        <v>154</v>
      </c>
      <c r="G17" s="9" t="s">
        <v>155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156</v>
      </c>
      <c r="B18" s="9" t="s">
        <v>157</v>
      </c>
      <c r="C18" s="9" t="s">
        <v>158</v>
      </c>
      <c r="D18" s="9" t="s">
        <v>159</v>
      </c>
      <c r="E18" s="10" t="s">
        <v>160</v>
      </c>
      <c r="F18" s="9" t="s">
        <v>161</v>
      </c>
      <c r="G18" s="9" t="s">
        <v>162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163</v>
      </c>
      <c r="B19" s="9" t="s">
        <v>164</v>
      </c>
      <c r="C19" s="9" t="s">
        <v>165</v>
      </c>
      <c r="D19" s="9" t="s">
        <v>166</v>
      </c>
      <c r="E19" s="9" t="s">
        <v>3</v>
      </c>
      <c r="F19" s="9" t="s">
        <v>167</v>
      </c>
      <c r="G19" s="9" t="s">
        <v>168</v>
      </c>
      <c r="H19" s="5"/>
      <c r="I19" s="5"/>
      <c r="J19" s="5"/>
      <c r="K19" s="5"/>
      <c r="L19" s="5"/>
      <c r="M19" s="5"/>
      <c r="N19" s="5"/>
      <c r="O19" s="5"/>
      <c r="P19" s="5"/>
      <c r="Q19" s="5"/>
    </row>
  </sheetData>
  <autoFilter ref="A1:Q1"/>
  <mergeCells count="24">
    <mergeCell ref="A4:A5"/>
    <mergeCell ref="B4:B5"/>
    <mergeCell ref="L4:L5"/>
    <mergeCell ref="M4:M5"/>
    <mergeCell ref="N4:N5"/>
    <mergeCell ref="O4:O5"/>
    <mergeCell ref="P4:P5"/>
    <mergeCell ref="Q4:Q5"/>
    <mergeCell ref="A7:A8"/>
    <mergeCell ref="B7:B8"/>
    <mergeCell ref="L7:L8"/>
    <mergeCell ref="M7:M8"/>
    <mergeCell ref="N7:N8"/>
    <mergeCell ref="O7:O8"/>
    <mergeCell ref="P7:P8"/>
    <mergeCell ref="Q7:Q8"/>
    <mergeCell ref="A15:A16"/>
    <mergeCell ref="B15:B16"/>
    <mergeCell ref="L15:L16"/>
    <mergeCell ref="M15:M16"/>
    <mergeCell ref="N15:N16"/>
    <mergeCell ref="O15:O16"/>
    <mergeCell ref="P15:P16"/>
    <mergeCell ref="Q15:Q16"/>
  </mergeCells>
  <dataValidations count="6">
    <dataValidation type="list" allowBlank="1" sqref="H10:H19">
      <formula1>"verifisert,delvis,sekundær,ikke funnet,feil"</formula1>
    </dataValidation>
    <dataValidation type="list" allowBlank="1" sqref="H3:H19">
      <formula1>"verifisert,delvis,sekundær,ikke funnet,feil"</formula1>
    </dataValidation>
    <dataValidation type="list" allowBlank="1" sqref="J10:J19">
      <formula1>"ja,nei,preprint"</formula1>
    </dataValidation>
    <dataValidation type="list" allowBlank="1" sqref="J2:J19">
      <formula1>"ja,nei,preprint"</formula1>
    </dataValidation>
    <dataValidation type="list" allowBlank="1" showErrorMessage="1" sqref="L10:P19">
      <formula1>"0,1,2,3"</formula1>
    </dataValidation>
    <dataValidation type="list" allowBlank="1" showErrorMessage="1" sqref="L2:P19">
      <formula1>"0,1,2,3"</formula1>
    </dataValidation>
  </dataValidations>
  <hyperlinks>
    <hyperlink ref="E5" r:id="rId1"/>
    <hyperlink ref="E6" r:id="rId2"/>
    <hyperlink ref="E14" r:id="rId3"/>
    <hyperlink ref="E16" r:id="rId4"/>
    <hyperlink ref="E18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