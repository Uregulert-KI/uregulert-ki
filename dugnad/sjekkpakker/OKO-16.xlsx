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<sst xmlns="http://schemas.openxmlformats.org/spreadsheetml/2006/main" count="177" uniqueCount="144">
  <si>
    <t>Sjekkpakke OKO-16: Små og mellomstore bedrifter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</si>
  <si>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</si>
  <si>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</si>
  <si>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</si>
  <si>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</si>
  <si>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</si>
  <si>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</si>
  <si>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</si>
  <si>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</si>
  <si>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</si>
  <si>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</si>
  <si>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</si>
  <si>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</si>
  <si>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</si>
  <si>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</si>
  <si>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</si>
  <si>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</si>
  <si>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</si>
  <si>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</si>
  <si>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</si>
  <si>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</si>
  <si>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</si>
  <si>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</si>
  <si>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</si>
  <si>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</si>
  <si>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</si>
  <si>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</si>
  <si>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</si>
  <si>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</si>
  <si>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</si>
  <si>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</si>
  <si>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</si>
  <si>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</si>
  <si>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</si>
  <si>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</si>
  <si>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</si>
  <si>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</si>
  <si>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</si>
  <si>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</si>
  <si>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</si>
  <si>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</si>
  <si>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</si>
  <si>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</si>
  <si>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</si>
  <si>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</si>
  <si>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</si>
  <si>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</si>
  <si>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</si>
  <si>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</si>
  <si>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</si>
  <si>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</si>
  <si>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</si>
  <si>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</si>
  <si>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</si>
  <si>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</si>
  <si>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</si>
  <si>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</si>
  <si>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</si>
  <si>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</si>
  <si>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</si>
  <si>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</si>
  <si>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</si>
  <si>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</si>
  <si>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</si>
  <si>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</si>
  <si>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</si>
  <si>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</si>
  <si>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OKO-16.P01</t>
  </si>
  <si>
    <t>Små bedrifter blir plattformavhengige og utkonkurreres av store selskaper med KI</t>
  </si>
  <si>
    <t>mangler</t>
  </si>
  <si>
    <t>Ingen kilde ennå. Fant du en? Lim inn lenken i «Riktig eller ny lenke».</t>
  </si>
  <si>
    <t>OKO-16.P02</t>
  </si>
  <si>
    <t>Små foretak tar i bruk KI langt sjeldnere enn store, og gapet øker (Sverige 2025: 31 % mot 72 %; Norge 2026: om lag 40 % mot 80 %)</t>
  </si>
  <si>
    <t>K1035</t>
  </si>
  <si>
    <t>SCB (2025) – Artificiell intelligens i Sverige 2025 · SCB</t>
  </si>
  <si>
    <t>https://www.scb.se/hitta-statistik/statistik-efter-amne/forskning-och-det-digitala-samhallet/ovrigt/artificiell-intelligens-i-sverige/pong/statistiknyhet/artificiell-intelligens-i-Sverige-2025/</t>
  </si>
  <si>
    <t>De store tar i bruk KI raskere enn de små: i Sverige brukte 31 % av de små foretakene KI i 2025, mot 72 % av de store [K1035]. I Norge brukte om lag 80 % av de store og om lag 40 % av de små foretakene KI i 2026 [K1207]. De små mangler tid, folk og kompetanse til å vurdere hva de kjøper – bestillerproblemet fra RET-15, avsnitt H, i næringslivet.</t>
  </si>
  <si>
    <t>ikke verifisert · Lagt til 2026-10-22 (OKO-16). URL: https://www.scb.se/pressmeddelande/storre-foretag-anvander-ai-mer/ – svenske tall; norske SSB-tall må hentes. · Eksistens (2026-10-25): funnet – Tallene 30,8 % (små) og 71,9 % (store) bekreftet i søkeresultatet. Pressemeldingen https://www.scb.se/pressmeddelande/storre-foretag-anvander-ai-mer/ finnes også. – tidligere beskrivelse: [Artificiell intelligens i Sverige 2025 – 30,8 % av små og 71,9 % av store foretak brukte KI]</t>
  </si>
  <si>
    <t>K1208</t>
  </si>
  <si>
    <t>SSB (Walther-Zhang og Rybalka) (2025) – Bruken av KI har skutt fart det siste året · SSB</t>
  </si>
  <si>
    <t>https://www.ssb.no/teknologi-og-innovasjon/informasjons-og-kommunikasjonsteknologi-ikt/statistikk/bruk-av-ikt-i-naeringslivet/artikler/bruken-av-ki-har-skutt-fart-det-siste-aret</t>
  </si>
  <si>
    <t xml:space="preserve">Tidsserien: andelen norske foretak med minst ti ansatte som bruker KI, var 11 % i 2021, om lag 10 % i 2023, 21 % i 2024, om lag 30 % i 2025 og nesten 50 % i 2026 [K1210] [K1208] [K1207].
Gapet øker: store foretak gikk fra 27 % i 2023 til 58 % i 2025 og om lag 80 % i 2026, mens små foretak (10–19 ansatte) var på om lag 40 % i 2026 [K1208] [K1207].
Kompetansen mangler: 77 % av foretakene som ikke bruker KI, mangler relevant kompetanse, og 4 av 10 er bekymret for personvern og uklare juridiske konsekvenser [K1208].</t>
  </si>
  <si>
    <t>ikke verifisert · Lagt til 2026-10-27 (REG-02). Publisert 24.09.2025.</t>
  </si>
  <si>
    <t>K1207</t>
  </si>
  <si>
    <t>SSB (Rybalka) (2026) – Bruken av KI i næringslivet akselererer · SSB</t>
  </si>
  <si>
    <t>https://www.ssb.no/teknologi-og-innovasjon/informasjons-og-kommunikasjonsteknologi-ikt/statistikk/bruk-av-ikt-i-naeringslivet/artikler/bruken-av-ki-i-naeringslivet-akselererer</t>
  </si>
  <si>
    <t xml:space="preserve">De store tar i bruk KI raskere enn de små: i Sverige brukte 31 % av de små foretakene KI i 2025, mot 72 % av de store [K1035]. I Norge brukte om lag 80 % av de store og om lag 40 % av de små foretakene KI i 2026 [K1207]. De små mangler tid, folk og kompetanse til å vurdere hva de kjøper – bestillerproblemet fra RET-15, avsnitt H, i næringslivet.
Tidsserien: andelen norske foretak med minst ti ansatte som bruker KI, var 11 % i 2021, om lag 10 % i 2023, 21 % i 2024, om lag 30 % i 2025 og nesten 50 % i 2026 [K1210] [K1208] [K1207].
Gapet øker: store foretak gikk fra 27 % i 2023 til 58 % i 2025 og om lag 80 % i 2026, mens små foretak (10–19 ansatte) var på om lag 40 % i 2026 [K1208] [K1207].</t>
  </si>
  <si>
    <t>ikke verifisert · Lagt til 2026-10-27 (REG-02). Publisert 25.09.2026. Bare foretak med minst ti sysselsatte, ikke finans og offentlig sektor.</t>
  </si>
  <si>
    <t>OKO-16.P03</t>
  </si>
  <si>
    <t>KI kan gi en følelse av økt produktivitet uten at produktiviteten øker</t>
  </si>
  <si>
    <t>K0384</t>
  </si>
  <si>
    <t>METR (2025) – Measuring the Impact of Early-2025 AI on Experienced Open-Source Developer Productivity · METR</t>
  </si>
  <si>
    <t>https://metr.org/blog/2025-07-10-early-2025-ai-experienced-os-dev-study/</t>
  </si>
  <si>
    <t>Individet: erfarne programmerere var 19 % tregere med KI, men trodde de var rundt 20 % raskere [K0384]. Følelsen av progresjon er ikke progresjon (RET-11, avsnitt B).</t>
  </si>
  <si>
    <t>ikke verifisert · Lagt til 2026-10-13 (LIV-03). Sjekk. · Eksistens (2026-10-25): funnet – Blogginnlegg 10. juli 2025 med tilhørende arXiv-rapport; 16 utviklere, 246 oppgaver. Fagfellevurdering ikke sett (antatt preprint). – tidligere beskrivelse: [Randomisert studie: erfarne programmerere jobbet tregere med KI-verktøy, men trodde de jobbet raskere]</t>
  </si>
  <si>
    <t>K1037</t>
  </si>
  <si>
    <t>Humlum og Vestergaard (2025) – Large Language Models, Small Labor Market Effects · NBER Working Paper</t>
  </si>
  <si>
    <t>https://ideas.repec.org/p/nbr/nberwo/33777.html</t>
  </si>
  <si>
    <t>Samfunnet: Solows produktivitetsparadoks – datamaskinene ses overalt, unntatt i produktivitetsstatistikken [K1036] – gjentar seg. I Danmark sparte KI-chatboter rundt 3 % av arbeidstiden, men ga ingen målbar effekt på lønn eller arbeidstimer [K1037] (sjekk).</t>
  </si>
  <si>
    <t>ikke verifisert · Lagt til 2026-10-22 (OKO-16). Danmark, 11 yrker: ca. 3 % tidsbesparelse, ingen målbar effekt på lønn eller arbeidstimer. Sjekk. · Eksistens (2026-10-25): funnet – NBER-nummer og forfattere sett i søkeresultat (IDEAS/RePEc); URL er IDEAS-siden, ikke nber.org.</t>
  </si>
  <si>
    <t>OKO-16.P04</t>
  </si>
  <si>
    <t>KI-chatboter i danske yrker sparte rundt 3 prosent av arbeidstiden, men ga ingen målbar effekt på lønn eller arbeidstimer</t>
  </si>
  <si>
    <t>OKO-16.P05</t>
  </si>
  <si>
    <t>Prisen per token faller kraftig, men samlede KI-kostnader stiger fordi modeller og agenter bruker flere tokens per oppgave</t>
  </si>
  <si>
    <t>K1038</t>
  </si>
  <si>
    <t>[ukjent – Stanford HAI; HPCwire; Tianpan] (2025–2026) – [Billigere tokens, større regning – pris per token falt ca. 280× på to år, mens bedriftenes token-forbruk økte kraftig (Jevons-paradokset)] · HPCwire</t>
  </si>
  <si>
    <t>Prisen per token faller kraftig, men regningen stiger fordi modeller som resonnerer og agenter bruker langt flere tokens per oppgave – Jevons-paradokset [K1038] (sjekk tall).</t>
  </si>
  <si>
    <t>ikke verifisert · Lagt til 2026-10-22 (OKO-16). URL: https://hpcwire.com/aiwire/2026/08/19/the-enterprise-ai-cost-reckoning-why-falling-per-token-prices-arent-saving-you – mange tall fra leverandørblogger, sjekk. · Eksistens (2026-10-25): usikker – HPCwire-artikkelen «The Enterprise AI Cost Reckoning: Why Falling Per-Token Prices Aren't Saving You» (19. aug. 2026) finnes https://hpcwire.com/aiwire/2026/08/19/the-enterprise-ai-cost-reckoning-why-falling-per-token-prices-arent-saving-you , men siden ga 403 og 280×-tallet og Stanford HAI/Tianpan-</t>
  </si>
  <si>
    <t>OKO-16.P06</t>
  </si>
  <si>
    <t>KI-verktøy har endret prismodell og bruksgrenser brått, med uventede kostnader for brukerne</t>
  </si>
  <si>
    <t>K1039</t>
  </si>
  <si>
    <t>Maxwell Zeff (2025) – Cursor apologizes for unclear pricing changes that upset users · TechCrunch</t>
  </si>
  <si>
    <t>https://techcrunch.com/2025/07/07/cursor-apologizes-for-unclear-pricing-changes-that-upset-users/</t>
  </si>
  <si>
    <t>Prissjokkene har allerede kommet: Cursor endret prismodellen og måtte betale tilbake for uventede regninger [K1039]; Anthropic innførte ukentlige bruksgrenser for Claude Code [K1040]; Replit gikk over til uforutsigbar betaling etter arbeidsmengde [K1041].</t>
  </si>
  <si>
    <t>ikke verifisert · Lagt til 2026-10-22 (OKO-16). URL: https://techcrunch.com/2025/07/07/cursor-apologizes-for-unclear-pricing-changes-that-upset-users/ · Eksistens (2026-10-25): funnet – Tittel, forfatter og dato 7. juli 2025 sett på siden. – tidligere beskrivelse: [Cursor apologizes for unclear pricing changes that upset users (2025)]</t>
  </si>
  <si>
    <t>K1040</t>
  </si>
  <si>
    <t>Maxwell Zeff (2025) – Anthropic unveils new rate limits to curb Claude Code power users · TechCrunch</t>
  </si>
  <si>
    <t>https://techcrunch.com/2025/07/28/anthropic-unveils-new-rate-limits-to-curb-claude-code-power-users/</t>
  </si>
  <si>
    <t>ikke verifisert · Lagt til 2026-10-22 (OKO-16). URL: https://techcrunch.com/2025/07/28/anthropic-unveils-new-rate-limits-to-curb-claude-code-power-users/ · Eksistens (2026-10-25): funnet – Publisert 28. juli 2025; registerets «august 2025» gjelder trolig ikrafttredelsen. – tidligere beskrivelse: [Anthropic innførte ukentlige bruksgrenser for Claude Code (august 2025)]</t>
  </si>
  <si>
    <t>K1041</t>
  </si>
  <si>
    <t>Vlad Solomakha (2026) – How to Spend in Replit's Effort-Based Pricing Casino · Banani</t>
  </si>
  <si>
    <t>https://www.banani.co/blog/replit-pricing</t>
  </si>
  <si>
    <t>ikke verifisert · Lagt til 2026-10-22 (OKO-16). URL: https://www.banani.co/blog/replit-pricing – sjekk. · Eksistens (2026-10-25): funnet – Siden oppgir to datoer (22. okt. 2026 i metadata, 28. mai 2026 i byline); år avviker fra registeret (2025). – tidligere beskrivelse: [Replits innsatsbaserte prising – uforutsigbare kostnader]; år avviker: registeret 2025, funnet 2026 · År rettet 2026-10-25: «2025» → 2026 (etter eksistenssjekken).</t>
  </si>
  <si>
    <t>OKO-16.P07</t>
  </si>
  <si>
    <t>KI-laboratoriene taper penger, og analytikere venter prisøkninger</t>
  </si>
  <si>
    <t>K1042</t>
  </si>
  <si>
    <t>[ukjent – Axios] (2026) – Don't get used to cheap AI · Axios</t>
  </si>
  <si>
    <t>Dagens priser kan være subsidiert: laboratoriene taper penger, og analytikere advarer om at prisene vil stige [K1042] – vurderinger, ikke uttalte planer.</t>
  </si>
  <si>
    <t>ikke verifisert · Lagt til 2026-10-22 (OKO-16). URL: https://axios.com/2026/03/12/ai-models-costs-ipo-pricing – PitchBook: OpenAI anslått underskudd 14 mrd. dollar i 2026; analytikere venter prisøkning. · Eksistens (2026-10-25): usikker – Axios-siden https://axios.com/2026/03/12/ai-models-costs-ipo-pricing ga 403 og artikkelen «Don't get used to cheap AI» kom ikke opp i søk; eksistens, tittel og forfatter ikke bekreftet.</t>
  </si>
  <si>
    <t>OKO-16.P08</t>
  </si>
  <si>
    <t>Bedrifter med vibe-kodet programvare kan bli avhengige av KI-verktøy og spesialiserte ryddekonsulenter</t>
  </si>
  <si>
    <t>K1043</t>
  </si>
  <si>
    <t>[ukjent – presse] (2025–2026) – [Konsulenter som spesialiserer seg på å rydde opp i vibe-kodet programvare]</t>
  </si>
  <si>
    <t>Ryddekonsulentene: når ingen forstår koden, kommer et knippe konsulenter som forstår kode og har spesialisert seg på å rydde opp i vibe-koding [K1043] (sjekk). Bedriften går fra å være avhengig av KI-leverandøren til å være avhengig av konsulentene – samme mønster som i RET-15, avsnitt E.</t>
  </si>
  <si>
    <t>ikke verifisert · Lagt til 2026-10-22 (OKO-16). Sjekk. · Eksistens (2026-10-25): usikker – Generell beskrivelse av presseomtale. Kandidater (titler ikke sett ordrett, bare URL): Gizmodo https://gizmodo.com/after-ai-led-to-layoffs-coders-are-being-hired-to-fix-vibe-coded-screwups-2000657915 ; Slashdot-omtale av 404 Media-saken (sep. 2025) https://developers.slashdot.org/story/25/09/13/0542</t>
  </si>
  <si>
    <t>OKO-16.P09</t>
  </si>
  <si>
    <t>Andelen norske foretak som bruker KI, økte fra 11 prosent i 2021 til nesten 50 prosent i 2026</t>
  </si>
  <si>
    <t>K1210</t>
  </si>
  <si>
    <t>SSB (Walther-Zhang) (2021) – 1 av 10 foretak bruker kunstig intelligens-teknologi · SSB</t>
  </si>
  <si>
    <t>https://www.ssb.no/teknologi-og-innovasjon/informasjons-og-kommunikasjonsteknologi-ikt/statistikk/bruk-av-ikt-i-naeringslivet/artikler/1-av-10-foretak-bruker-kunstig-intelligens-teknologi</t>
  </si>
  <si>
    <t>Tidsserien: andelen norske foretak med minst ti ansatte som bruker KI, var 11 % i 2021, om lag 10 % i 2023, 21 % i 2024, om lag 30 % i 2025 og nesten 50 % i 2026 [K1210] [K1208] [K1207].</t>
  </si>
  <si>
    <t>ikke verifisert · Lagt til 2026-10-27 (REG-02). Publisert 16.09.2021.</t>
  </si>
  <si>
    <t>OKO-16.P10</t>
  </si>
  <si>
    <t>77 prosent av foretakene som ikke bruker KI, oppgir at de mangler relevant kompetanse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</si>
</sst>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cb.se/hitta-statistik/statistik-efter-amne/forskning-och-det-digitala-samhallet/ovrigt/artificiell-intelligens-i-sverige/pong/statistiknyhet/artificiell-intelligens-i-Sverige-2025/" TargetMode="External"/><Relationship Id="rId2" Type="http://schemas.openxmlformats.org/officeDocument/2006/relationships/hyperlink" Target="https://www.ssb.no/teknologi-og-innovasjon/informasjons-og-kommunikasjonsteknologi-ikt/statistikk/bruk-av-ikt-i-naeringslivet/artikler/bruken-av-ki-har-skutt-fart-det-siste-aret" TargetMode="External"/><Relationship Id="rId3" Type="http://schemas.openxmlformats.org/officeDocument/2006/relationships/hyperlink" Target="https://www.ssb.no/teknologi-og-innovasjon/informasjons-og-kommunikasjonsteknologi-ikt/statistikk/bruk-av-ikt-i-naeringslivet/artikler/bruken-av-ki-i-naeringslivet-akselererer" TargetMode="External"/><Relationship Id="rId4" Type="http://schemas.openxmlformats.org/officeDocument/2006/relationships/hyperlink" Target="https://metr.org/blog/2025-07-10-early-2025-ai-experienced-os-dev-study/" TargetMode="External"/><Relationship Id="rId5" Type="http://schemas.openxmlformats.org/officeDocument/2006/relationships/hyperlink" Target="https://ideas.repec.org/p/nbr/nberwo/33777.html" TargetMode="External"/><Relationship Id="rId6" Type="http://schemas.openxmlformats.org/officeDocument/2006/relationships/hyperlink" Target="https://ideas.repec.org/p/nbr/nberwo/33777.html" TargetMode="External"/><Relationship Id="rId7" Type="http://schemas.openxmlformats.org/officeDocument/2006/relationships/hyperlink" Target="https://techcrunch.com/2025/07/07/cursor-apologizes-for-unclear-pricing-changes-that-upset-users/" TargetMode="External"/><Relationship Id="rId8" Type="http://schemas.openxmlformats.org/officeDocument/2006/relationships/hyperlink" Target="https://techcrunch.com/2025/07/28/anthropic-unveils-new-rate-limits-to-curb-claude-code-power-users/" TargetMode="External"/><Relationship Id="rId9" Type="http://schemas.openxmlformats.org/officeDocument/2006/relationships/hyperlink" Target="https://www.banani.co/blog/replit-pricing" TargetMode="External"/><Relationship Id="rId10" Type="http://schemas.openxmlformats.org/officeDocument/2006/relationships/hyperlink" Target="https://www.ssb.no/teknologi-og-innovasjon/informasjons-og-kommunikasjonsteknologi-ikt/statistikk/bruk-av-ikt-i-naeringslivet/artikler/1-av-10-foretak-bruker-kunstig-intelligens-teknologi" TargetMode="External"/><Relationship Id="rId11" Type="http://schemas.openxmlformats.org/officeDocument/2006/relationships/hyperlink" Target="https://www.ssb.no/teknologi-og-innovasjon/informasjons-og-kommunikasjonsteknologi-ikt/statistikk/bruk-av-ikt-i-naeringslivet/artikler/bruken-av-ki-i-naeringslivet-akselererer" TargetMode="External"/><Relationship Id="rId12" Type="http://schemas.openxmlformats.org/officeDocument/2006/relationships/hyperlink" Target="https://www.ssb.no/teknologi-og-innovasjon/informasjons-og-kommunikasjonsteknologi-ikt/statistikk/bruk-av-ikt-i-naeringslivet/artikler/bruken-av-ki-har-skutt-fart-det-siste-ar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10" t="s">
        <v>80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10" t="s">
        <v>92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95</v>
      </c>
      <c r="D8" s="9" t="s">
        <v>96</v>
      </c>
      <c r="E8" s="10" t="s">
        <v>97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9" t="s">
        <v>3</v>
      </c>
      <c r="F9" s="9" t="s">
        <v>106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110</v>
      </c>
      <c r="D10" s="9" t="s">
        <v>111</v>
      </c>
      <c r="E10" s="10" t="s">
        <v>112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115</v>
      </c>
      <c r="D11" s="9" t="s">
        <v>116</v>
      </c>
      <c r="E11" s="10" t="s">
        <v>117</v>
      </c>
      <c r="F11" s="9" t="s">
        <v>113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119</v>
      </c>
      <c r="D12" s="9" t="s">
        <v>120</v>
      </c>
      <c r="E12" s="10" t="s">
        <v>121</v>
      </c>
      <c r="F12" s="9" t="s">
        <v>113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125</v>
      </c>
      <c r="D13" s="9" t="s">
        <v>126</v>
      </c>
      <c r="E13" s="9" t="s">
        <v>3</v>
      </c>
      <c r="F13" s="9" t="s">
        <v>127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129</v>
      </c>
      <c r="B14" s="9" t="s">
        <v>130</v>
      </c>
      <c r="C14" s="9" t="s">
        <v>131</v>
      </c>
      <c r="D14" s="9" t="s">
        <v>132</v>
      </c>
      <c r="E14" s="9" t="s">
        <v>3</v>
      </c>
      <c r="F14" s="9" t="s">
        <v>133</v>
      </c>
      <c r="G14" s="9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135</v>
      </c>
      <c r="B15" s="9" t="s">
        <v>136</v>
      </c>
      <c r="C15" s="9" t="s">
        <v>137</v>
      </c>
      <c r="D15" s="9" t="s">
        <v>138</v>
      </c>
      <c r="E15" s="10" t="s">
        <v>139</v>
      </c>
      <c r="F15" s="9" t="s">
        <v>140</v>
      </c>
      <c r="G15" s="9" t="s">
        <v>141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83</v>
      </c>
      <c r="D16" s="9" t="s">
        <v>84</v>
      </c>
      <c r="E16" s="10" t="s">
        <v>85</v>
      </c>
      <c r="F16" s="9" t="s">
        <v>86</v>
      </c>
      <c r="G16" s="9" t="s">
        <v>87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142</v>
      </c>
      <c r="B17" s="9" t="s">
        <v>143</v>
      </c>
      <c r="C17" s="9" t="s">
        <v>78</v>
      </c>
      <c r="D17" s="9" t="s">
        <v>79</v>
      </c>
      <c r="E17" s="10" t="s">
        <v>80</v>
      </c>
      <c r="F17" s="9" t="s">
        <v>81</v>
      </c>
      <c r="G17" s="9" t="s">
        <v>82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</sheetData>
  <autoFilter ref="A1:Q1"/>
  <mergeCells count="32">
    <mergeCell ref="A3:A5"/>
    <mergeCell ref="B3:B5"/>
    <mergeCell ref="L3:L5"/>
    <mergeCell ref="M3:M5"/>
    <mergeCell ref="N3:N5"/>
    <mergeCell ref="O3:O5"/>
    <mergeCell ref="P3:P5"/>
    <mergeCell ref="Q3:Q5"/>
    <mergeCell ref="A6:A7"/>
    <mergeCell ref="B6:B7"/>
    <mergeCell ref="L6:L7"/>
    <mergeCell ref="M6:M7"/>
    <mergeCell ref="N6:N7"/>
    <mergeCell ref="O6:O7"/>
    <mergeCell ref="P6:P7"/>
    <mergeCell ref="Q6:Q7"/>
    <mergeCell ref="A10:A12"/>
    <mergeCell ref="B10:B12"/>
    <mergeCell ref="L10:L12"/>
    <mergeCell ref="M10:M12"/>
    <mergeCell ref="N10:N12"/>
    <mergeCell ref="O10:O12"/>
    <mergeCell ref="P10:P12"/>
    <mergeCell ref="Q10:Q12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6">
    <dataValidation type="list" allowBlank="1" sqref="H10:H17">
      <formula1>"verifisert,delvis,sekundær,ikke funnet,feil"</formula1>
    </dataValidation>
    <dataValidation type="list" allowBlank="1" sqref="H3:H17">
      <formula1>"verifisert,delvis,sekundær,ikke funnet,feil"</formula1>
    </dataValidation>
    <dataValidation type="list" allowBlank="1" sqref="J10:J17">
      <formula1>"ja,nei,preprint"</formula1>
    </dataValidation>
    <dataValidation type="list" allowBlank="1" sqref="J2:J17">
      <formula1>"ja,nei,preprint"</formula1>
    </dataValidation>
    <dataValidation type="list" allowBlank="1" showErrorMessage="1" sqref="L10:P17">
      <formula1>"0,1,2,3"</formula1>
    </dataValidation>
    <dataValidation type="list" allowBlank="1" showErrorMessage="1" sqref="L2:P17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10" r:id="rId7"/>
    <hyperlink ref="E11" r:id="rId8"/>
    <hyperlink ref="E12" r:id="rId9"/>
    <hyperlink ref="E15" r:id="rId10"/>
    <hyperlink ref="E16" r:id="rId11"/>
    <hyperlink ref="E17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